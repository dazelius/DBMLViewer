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#Define" sheetId="1" state="visible" r:id="rId1"/>
    <sheet name="Passive" sheetId="2" state="visible" r:id="rId2"/>
    <sheet name="PassiveProperty" sheetId="3" state="visible" r:id="rId3"/>
    <sheet name="PassiveEffec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0000"/>
      <sz val="10"/>
      <scheme val="minor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family val="3"/>
      <color rgb="FF000000"/>
      <sz val="10"/>
    </font>
    <font>
      <name val="Malgun Gothic Semilight"/>
      <charset val="129"/>
      <family val="2"/>
      <b val="1"/>
      <color rgb="FF000000"/>
      <sz val="10"/>
    </font>
    <font>
      <name val="굴림"/>
      <charset val="129"/>
      <family val="2"/>
      <color rgb="FF000000"/>
      <sz val="10"/>
    </font>
    <font>
      <name val="맑은 고딕"/>
      <charset val="129"/>
      <family val="3"/>
      <color rgb="FF172B4D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Malgun Gothic Semilight"/>
      <charset val="129"/>
      <family val="3"/>
      <color rgb="FF000000"/>
      <sz val="10"/>
    </font>
    <font>
      <name val="Malgun Gothic Semilight"/>
      <charset val="129"/>
      <family val="3"/>
      <color rgb="FF172B4D"/>
      <sz val="10"/>
    </font>
    <font>
      <name val="Malgun Gothic Semilight"/>
      <charset val="129"/>
      <family val="3"/>
      <sz val="10"/>
    </font>
    <font>
      <name val="Malgun Gothic Semilight"/>
      <charset val="129"/>
      <family val="3"/>
      <color rgb="FFFF0000"/>
      <sz val="10"/>
    </font>
    <font>
      <name val="맑은 고딕"/>
      <charset val="129"/>
      <family val="2"/>
      <b val="1"/>
      <color rgb="FFFF66FF"/>
      <sz val="10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83214819788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2" fillId="0" borderId="0" pivotButton="0" quotePrefix="0" xfId="1"/>
    <xf numFmtId="0" fontId="4" fillId="0" borderId="0" pivotButton="0" quotePrefix="0" xfId="1"/>
    <xf numFmtId="0" fontId="2" fillId="3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4" fillId="4" borderId="1" pivotButton="0" quotePrefix="0" xfId="1"/>
    <xf numFmtId="0" fontId="6" fillId="4" borderId="1" pivotButton="0" quotePrefix="0" xfId="1"/>
    <xf numFmtId="0" fontId="9" fillId="0" borderId="1" pivotButton="0" quotePrefix="0" xfId="2"/>
    <xf numFmtId="0" fontId="5" fillId="0" borderId="1" pivotButton="0" quotePrefix="0" xfId="1"/>
    <xf numFmtId="0" fontId="10" fillId="0" borderId="0" pivotButton="0" quotePrefix="0" xfId="1"/>
    <xf numFmtId="0" fontId="11" fillId="0" borderId="1" pivotButton="0" quotePrefix="0" xfId="1"/>
    <xf numFmtId="0" fontId="12" fillId="0" borderId="0" pivotButton="0" quotePrefix="0" xfId="1"/>
    <xf numFmtId="0" fontId="2" fillId="0" borderId="1" pivotButton="0" quotePrefix="0" xfId="1"/>
    <xf numFmtId="0" fontId="4" fillId="0" borderId="1" pivotButton="0" quotePrefix="0" xfId="1"/>
    <xf numFmtId="0" fontId="13" fillId="0" borderId="0" pivotButton="0" quotePrefix="0" xfId="1"/>
    <xf numFmtId="0" fontId="13" fillId="4" borderId="1" pivotButton="0" quotePrefix="0" xfId="1"/>
    <xf numFmtId="0" fontId="14" fillId="0" borderId="1" pivotButton="0" quotePrefix="0" xfId="2"/>
    <xf numFmtId="0" fontId="13" fillId="0" borderId="1" pivotButton="0" quotePrefix="0" xfId="1"/>
    <xf numFmtId="0" fontId="15" fillId="0" borderId="1" pivotButton="0" quotePrefix="0" xfId="1"/>
    <xf numFmtId="0" fontId="16" fillId="0" borderId="1" pivotButton="0" quotePrefix="0" xfId="1"/>
    <xf numFmtId="0" fontId="17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5" borderId="0" pivotButton="0" quotePrefix="0" xfId="0"/>
    <xf numFmtId="0" fontId="9" fillId="6" borderId="1" pivotButton="0" quotePrefix="0" xfId="2"/>
    <xf numFmtId="0" fontId="14" fillId="6" borderId="1" pivotButton="0" quotePrefix="0" xfId="2"/>
    <xf numFmtId="0" fontId="9" fillId="7" borderId="1" pivotButton="0" quotePrefix="0" xfId="2"/>
    <xf numFmtId="0" fontId="14" fillId="8" borderId="1" pivotButton="0" quotePrefix="0" xfId="2"/>
    <xf numFmtId="0" fontId="13" fillId="8" borderId="1" pivotButton="0" quotePrefix="0" xfId="1"/>
    <xf numFmtId="0" fontId="2" fillId="9" borderId="1" pivotButton="0" quotePrefix="0" xfId="1"/>
    <xf numFmtId="0" fontId="2" fillId="8" borderId="0" pivotButton="0" quotePrefix="0" xfId="1"/>
    <xf numFmtId="0" fontId="2" fillId="8" borderId="1" pivotButton="0" quotePrefix="0" xfId="1"/>
    <xf numFmtId="0" fontId="9" fillId="8" borderId="1" pivotButton="0" quotePrefix="0" xfId="2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5" fillId="0" borderId="0" pivotButton="0" quotePrefix="0" xfId="1"/>
    <xf numFmtId="0" fontId="0" fillId="5" borderId="2" pivotButton="0" quotePrefix="0" xfId="0"/>
    <xf numFmtId="0" fontId="2" fillId="0" borderId="1" applyAlignment="1" pivotButton="0" quotePrefix="0" xfId="1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10" borderId="0" pivotButton="0" quotePrefix="0" xfId="0"/>
    <xf numFmtId="0" fontId="0" fillId="10" borderId="3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5" pivotButton="0" quotePrefix="0" xfId="0"/>
    <xf numFmtId="0" fontId="18" fillId="11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11" borderId="0" pivotButton="0" quotePrefix="0" xfId="0"/>
    <xf numFmtId="0" fontId="19" fillId="0" borderId="0" pivotButton="0" quotePrefix="0" xfId="0"/>
    <xf numFmtId="0" fontId="19" fillId="0" borderId="2" pivotButton="0" quotePrefix="0" xfId="0"/>
    <xf numFmtId="0" fontId="20" fillId="0" borderId="0" pivotButton="0" quotePrefix="0" xfId="0"/>
    <xf numFmtId="0" fontId="5" fillId="0" borderId="1" applyAlignment="1" pivotButton="0" quotePrefix="0" xfId="1">
      <alignment wrapText="1"/>
    </xf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0" fontId="21" fillId="0" borderId="0" pivotButton="0" quotePrefix="0" xfId="0"/>
    <xf numFmtId="0" fontId="22" fillId="0" borderId="2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12" borderId="0" pivotButton="0" quotePrefix="0" xfId="0"/>
  </cellXfs>
  <cellStyles count="3">
    <cellStyle name="표준" xfId="0" builtinId="0"/>
    <cellStyle name="표준 2" xfId="1"/>
    <cellStyle name="표준 3" xfId="2"/>
  </cellStyles>
  <dxfs count="11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5" tint="0.5999633777886288"/>
        </patternFill>
      </fill>
    </dxf>
    <dxf>
      <numFmt numFmtId="0" formatCode="General"/>
    </dxf>
    <dxf>
      <numFmt numFmtId="0" formatCode="General"/>
      <alignment horizontal="center" vertical="bottom"/>
    </dxf>
    <dxf>
      <fill>
        <patternFill>
          <fgColor indexed="64"/>
          <bgColor auto="1"/>
        </patternFill>
      </fill>
      <border>
        <left/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  <border>
        <left style="dashed">
          <color auto="1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theme="8" tint="0.7999816888943144"/>
        </patternFill>
      </fill>
    </dxf>
    <dxf>
      <numFmt numFmtId="0" formatCode="General"/>
    </dxf>
    <dxf>
      <numFmt numFmtId="0" formatCode="General"/>
      <alignment horizontal="center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ssive" displayName="Passive" ref="A2:S88" headerRowCount="1">
  <autoFilter ref="A2:S88"/>
  <tableColumns count="19">
    <tableColumn id="1" name="id"/>
    <tableColumn id="2" name="#effect_group" dataDxfId="10"/>
    <tableColumn id="3" name="#effect_memo"/>
    <tableColumn id="4" name="passive_lv"/>
    <tableColumn id="5" name="passive_group_id"/>
    <tableColumn id="6" name="passive_property_id">
      <calculatedColumnFormula>Passive[[#This Row],[id]]</calculatedColumnFormula>
    </tableColumn>
    <tableColumn id="7" name="skill_ui_type"/>
    <tableColumn id="8" name="display_name"/>
    <tableColumn id="9" name="display_desc"/>
    <tableColumn id="10" name="icon"/>
    <tableColumn id="19" name="passive_type"/>
    <tableColumn id="18" name="use_target_id"/>
    <tableColumn id="11" name="skill_ui_id"/>
    <tableColumn id="12" name="is_additive"/>
    <tableColumn id="13" name="is_swap_clear"/>
    <tableColumn id="14" name="is_kill_ownerdeath"/>
    <tableColumn id="15" name="is_kill_round_end"/>
    <tableColumn id="16" name="is_kill_shift_round"/>
    <tableColumn id="17" name="token_equip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ssiveProperty" displayName="PassiveProperty" ref="A2:Q111" headerRowCount="1">
  <autoFilter ref="A2:Q111"/>
  <tableColumns count="17">
    <tableColumn id="1" name="id"/>
    <tableColumn id="2" name="property_id"/>
    <tableColumn id="3" name="#effect_group" dataDxfId="9">
      <calculatedColumnFormula>_xlfn.XLOOKUP(PassiveProperty[[#This Row],[id]],Passive[passive_property_id],Passive['#effect_group],"__",0)</calculatedColumnFormula>
    </tableColumn>
    <tableColumn id="15" name="#effect_memo" dataDxfId="8">
      <calculatedColumnFormula>_xlfn.XLOOKUP(PassiveProperty[[#This Row],[id]],Passive[id],Passive['#effect_memo],"__",0)</calculatedColumnFormula>
    </tableColumn>
    <tableColumn id="4" name="passive_start_cool"/>
    <tableColumn id="5" name="passive_activate_cool"/>
    <tableColumn id="19" name="passive_round_limit"/>
    <tableColumn id="18" name="passive_spawn_limit"/>
    <tableColumn id="8" name="passive_effect_id" dataDxfId="7">
      <calculatedColumnFormula>PassiveProperty[[#This Row],[id]]*10+PassiveProperty[[#This Row],[property_id]]</calculatedColumnFormula>
    </tableColumn>
    <tableColumn id="16" name="required_mark" dataDxfId="6"/>
    <tableColumn id="17" name="blocked_mark" dataDxfId="5"/>
    <tableColumn id="9" name="run_condition_type"/>
    <tableColumn id="10" name="run_condtion_value1"/>
    <tableColumn id="11" name="run_condtion_value2"/>
    <tableColumn id="12" name="kill_condition_type"/>
    <tableColumn id="13" name="kill_condtion_value1"/>
    <tableColumn id="14" name="kill_condtion_value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siveEffect" displayName="PassiveEffect" ref="A2:I111" headerRowCount="1">
  <autoFilter ref="A2:I111"/>
  <tableColumns count="9">
    <tableColumn id="1" name="id"/>
    <tableColumn id="2" name="#effect_group" dataDxfId="4">
      <calculatedColumnFormula>_xlfn.XLOOKUP(PassiveEffect[[#This Row],[id]],PassiveProperty[passive_effect_id],PassiveProperty['#effect_group],"__",0)</calculatedColumnFormula>
    </tableColumn>
    <tableColumn id="9" name="#effect_memo" dataDxfId="3">
      <calculatedColumnFormula>_xlfn.XLOOKUP(PassiveEffect[[#This Row],[id]],PassiveProperty[passive_effect_id],PassiveProperty['#effect_memo],"__",0)</calculatedColumnFormula>
    </tableColumn>
    <tableColumn id="3" name="passive_effect_type"/>
    <tableColumn id="4" name="effect_target_id"/>
    <tableColumn id="5" name="effect_value1"/>
    <tableColumn id="6" name="effect_value2"/>
    <tableColumn id="7" name="effect_value3"/>
    <tableColumn id="8" name="effect_value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I171"/>
  <sheetViews>
    <sheetView topLeftCell="A91" zoomScale="85" zoomScaleNormal="85" workbookViewId="0">
      <selection activeCell="D106" sqref="D106"/>
    </sheetView>
  </sheetViews>
  <sheetFormatPr baseColWidth="8" defaultColWidth="8" defaultRowHeight="13.5"/>
  <cols>
    <col width="8" customWidth="1" style="3" min="1" max="1"/>
    <col width="28.625" customWidth="1" style="3" min="2" max="2"/>
    <col width="68.625" customWidth="1" style="3" min="3" max="3"/>
    <col width="23.375" bestFit="1" customWidth="1" style="3" min="4" max="4"/>
    <col width="32.5" customWidth="1" style="3" min="5" max="5"/>
    <col width="26.75" bestFit="1" customWidth="1" style="3" min="6" max="6"/>
    <col width="25.875" bestFit="1" customWidth="1" style="3" min="7" max="7"/>
    <col width="20.875" bestFit="1" customWidth="1" style="3" min="8" max="8"/>
    <col width="8" customWidth="1" style="3" min="9" max="9"/>
    <col width="8" customWidth="1" style="3" min="10" max="16384"/>
  </cols>
  <sheetData>
    <row r="1" ht="23.25" customHeight="1">
      <c r="B1" s="2" t="inlineStr">
        <is>
          <t>PassiveProperty</t>
        </is>
      </c>
    </row>
    <row r="2" ht="13.5" customHeight="1">
      <c r="B2" s="6" t="inlineStr">
        <is>
          <t>run_condition_type, kill_condition_type</t>
        </is>
      </c>
      <c r="D2" s="7" t="n"/>
    </row>
    <row r="3" ht="13.5" customHeight="1">
      <c r="B3" s="8" t="inlineStr">
        <is>
          <t>값</t>
        </is>
      </c>
      <c r="C3" s="8" t="inlineStr">
        <is>
          <t>설명</t>
        </is>
      </c>
      <c r="D3" s="9" t="inlineStr">
        <is>
          <t>value1</t>
        </is>
      </c>
      <c r="E3" s="9" t="inlineStr">
        <is>
          <t>value2</t>
        </is>
      </c>
    </row>
    <row r="4" ht="13.5" customHeight="1">
      <c r="B4" s="27" t="inlineStr">
        <is>
          <t>Always</t>
        </is>
      </c>
      <c r="C4" s="11" t="inlineStr">
        <is>
          <t>항상 작동 (쿨다운, 횟수 제한은 적용)</t>
        </is>
      </c>
      <c r="D4" s="11" t="inlineStr">
        <is>
          <t>미사용 (-1)</t>
        </is>
      </c>
      <c r="E4" s="11" t="inlineStr">
        <is>
          <t>미사용 (-1)</t>
        </is>
      </c>
    </row>
    <row r="5" ht="13.5" customHeight="1">
      <c r="B5" s="27" t="inlineStr">
        <is>
          <t>OwnHPPercentCompare</t>
        </is>
      </c>
      <c r="C5" s="11" t="inlineStr">
        <is>
          <t>내 현재 체력과 최대 체력을 비교</t>
        </is>
      </c>
      <c r="D5" s="11" t="inlineStr">
        <is>
          <t>발동할 비율</t>
        </is>
      </c>
      <c r="E5" s="11" t="inlineStr">
        <is>
          <t>0=같음, 1=미만, 2=초과, 3=이하, 4=이상</t>
        </is>
      </c>
      <c r="F5" s="12" t="inlineStr">
        <is>
          <t>※ 값이 없으면 0으로 수행</t>
        </is>
      </c>
    </row>
    <row r="6" ht="13.5" customHeight="1">
      <c r="B6" s="27" t="inlineStr">
        <is>
          <t>SkillTargetHPPercentCompare</t>
        </is>
      </c>
      <c r="C6" s="11" t="inlineStr">
        <is>
          <t>내 스킬 적중 후 대상의 현재 체력과 최대 체력을 비교</t>
        </is>
      </c>
      <c r="D6" s="11" t="inlineStr">
        <is>
          <t>발동할 비율</t>
        </is>
      </c>
      <c r="E6" s="11" t="inlineStr">
        <is>
          <t>0=같음, 1=미만, 2=초과, 3=이하, 4=이상</t>
        </is>
      </c>
      <c r="F6" s="12" t="inlineStr">
        <is>
          <t>※ 값이 없으면 0으로 수행</t>
        </is>
      </c>
    </row>
    <row r="7" ht="13.5" customHeight="1">
      <c r="B7" s="10" t="inlineStr">
        <is>
          <t>ComboCountOverOnce</t>
        </is>
      </c>
      <c r="C7" s="13" t="inlineStr">
        <is>
          <t>연속 공격(콤보) 카운트가 정해진 수가 되었을 때 (미구현)</t>
        </is>
      </c>
      <c r="D7" s="11" t="inlineStr">
        <is>
          <t>카운트 수</t>
        </is>
      </c>
      <c r="E7" s="11" t="inlineStr">
        <is>
          <t>미사용 (-1)</t>
        </is>
      </c>
      <c r="F7" s="12" t="inlineStr">
        <is>
          <t>※ 발동하고 나면 콤보 초기화 되어야 다시 발동 가능</t>
        </is>
      </c>
    </row>
    <row r="8" ht="13.5" customHeight="1">
      <c r="B8" s="10" t="inlineStr">
        <is>
          <t>ArmorTypeGuardChk</t>
        </is>
      </c>
      <c r="C8" s="13" t="inlineStr">
        <is>
          <t>내 아머 타입이 Guard인지 여부 (미구현)</t>
        </is>
      </c>
      <c r="D8" s="11" t="inlineStr">
        <is>
          <t>0=가드 아님, 1=가드</t>
        </is>
      </c>
      <c r="E8" s="11" t="inlineStr">
        <is>
          <t>미사용 (-1)</t>
        </is>
      </c>
    </row>
    <row r="9" ht="13.5" customHeight="1">
      <c r="B9" s="27" t="inlineStr">
        <is>
          <t>ExistAllyInRange</t>
        </is>
      </c>
      <c r="C9" s="11" t="inlineStr">
        <is>
          <t>자신 주변 범위 내 아군 캐릭터 존재 (소환 제외)</t>
        </is>
      </c>
      <c r="D9" s="11" t="inlineStr">
        <is>
          <t>0=근접, 1=주변, 2=맵 전체</t>
        </is>
      </c>
      <c r="E9" s="11" t="inlineStr">
        <is>
          <t>수량 (이 숫자 '이상'인지 체크)</t>
        </is>
      </c>
    </row>
    <row r="10" ht="13.5" customHeight="1">
      <c r="B10" s="27" t="inlineStr">
        <is>
          <t>ExistAllyInRangeUnder</t>
        </is>
      </c>
      <c r="C10" s="11" t="inlineStr">
        <is>
          <t>자신 주변 범위 내 아군 캐릭터 존재 (소환 제외)</t>
        </is>
      </c>
      <c r="D10" s="11" t="inlineStr">
        <is>
          <t>0=근접, 1=주변, 2=맵 전체</t>
        </is>
      </c>
      <c r="E10" s="11" t="inlineStr">
        <is>
          <t>수량 (이 숫자 '미만'인지 체크)</t>
        </is>
      </c>
    </row>
    <row r="11" ht="13.5" customHeight="1">
      <c r="B11" s="27" t="inlineStr">
        <is>
          <t>ExistEnemyInRange</t>
        </is>
      </c>
      <c r="C11" s="11" t="inlineStr">
        <is>
          <t>자신 주변 범위 내 적 캐릭터 존재 (소환 제외)</t>
        </is>
      </c>
      <c r="D11" s="11" t="inlineStr">
        <is>
          <t>0=근접, 1=주변, 2=맵 전체</t>
        </is>
      </c>
      <c r="E11" s="11" t="inlineStr">
        <is>
          <t>수량 (이 숫자 '이상'인지 체크)</t>
        </is>
      </c>
    </row>
    <row r="12" ht="13.5" customHeight="1">
      <c r="B12" s="27" t="inlineStr">
        <is>
          <t>ExistEnemyInRangeUnder</t>
        </is>
      </c>
      <c r="C12" s="11" t="inlineStr">
        <is>
          <t>자신 주변 범위 내 적 캐릭터 존재 (소환 제외)</t>
        </is>
      </c>
      <c r="D12" s="11" t="inlineStr">
        <is>
          <t>0=근접, 1=주변, 2=맵 전체</t>
        </is>
      </c>
      <c r="E12" s="11" t="inlineStr">
        <is>
          <t>수량 (이 숫자 '미만'인지 체크)</t>
        </is>
      </c>
    </row>
    <row r="13" ht="13.5" customHeight="1">
      <c r="B13" s="27" t="inlineStr">
        <is>
          <t>AttackHit</t>
        </is>
      </c>
      <c r="C13" s="11" t="inlineStr">
        <is>
          <t>공격이 적중</t>
        </is>
      </c>
      <c r="D13" s="11" t="inlineStr">
        <is>
          <t>0=모든 공격, 1=평타</t>
        </is>
      </c>
      <c r="E13" s="11" t="inlineStr">
        <is>
          <t>적용 확률</t>
        </is>
      </c>
    </row>
    <row r="14" ht="13.5" customHeight="1">
      <c r="B14" s="29" t="inlineStr">
        <is>
          <t>AttackCriticalHit</t>
        </is>
      </c>
      <c r="C14" s="11" t="inlineStr">
        <is>
          <t>공격이 치명타 적중</t>
        </is>
      </c>
      <c r="D14" s="11" t="inlineStr">
        <is>
          <t>0=모든 공격, 1=평타</t>
        </is>
      </c>
      <c r="E14" s="11" t="inlineStr">
        <is>
          <t>적용 확률</t>
        </is>
      </c>
    </row>
    <row r="15" ht="13.5" customHeight="1">
      <c r="B15" s="27" t="inlineStr">
        <is>
          <t>AttackHitby</t>
        </is>
      </c>
      <c r="C15" s="11" t="inlineStr">
        <is>
          <t>피격</t>
        </is>
      </c>
      <c r="D15" s="11" t="inlineStr">
        <is>
          <t>적용 확률</t>
        </is>
      </c>
      <c r="E15" s="11" t="inlineStr">
        <is>
          <t>미사용 (-1)</t>
        </is>
      </c>
    </row>
    <row r="16" ht="13.5" customHeight="1">
      <c r="B16" s="29" t="inlineStr">
        <is>
          <t>AttackCriticalHitby</t>
        </is>
      </c>
      <c r="C16" s="11" t="inlineStr">
        <is>
          <t>치명타 피격</t>
        </is>
      </c>
      <c r="D16" s="11" t="inlineStr">
        <is>
          <t>적용 확률</t>
        </is>
      </c>
      <c r="E16" s="11" t="inlineStr">
        <is>
          <t>미사용 (-1)</t>
        </is>
      </c>
    </row>
    <row r="17" ht="13.5" customHeight="1">
      <c r="B17" s="27" t="inlineStr">
        <is>
          <t>AllyDeath</t>
        </is>
      </c>
      <c r="C17" s="11" t="inlineStr">
        <is>
          <t>아군 사망</t>
        </is>
      </c>
      <c r="D17" s="11" t="inlineStr">
        <is>
          <t>적용 확률</t>
        </is>
      </c>
      <c r="E17" s="11" t="inlineStr">
        <is>
          <t>미사용 (-1)</t>
        </is>
      </c>
    </row>
    <row r="18" ht="40.5" customHeight="1">
      <c r="B18" s="27" t="inlineStr">
        <is>
          <t>OwnDeath</t>
        </is>
      </c>
      <c r="C18" s="11" t="inlineStr">
        <is>
          <t>자신 사망</t>
        </is>
      </c>
      <c r="D18" s="11" t="inlineStr">
        <is>
          <t>적용 확률</t>
        </is>
      </c>
      <c r="E18" s="57" t="inlineStr">
        <is>
          <t>0: 모든 사망에 대해서 처리
1: hp가 0 이하가 되어 사망했을 때
2: (summoned) 생존 시간이 만료되었을 때</t>
        </is>
      </c>
    </row>
    <row r="19" ht="13.5" customHeight="1">
      <c r="B19" s="27" t="inlineStr">
        <is>
          <t>TrapActivateOwner</t>
        </is>
      </c>
      <c r="C19" s="11" t="inlineStr">
        <is>
          <t>함정이 패시브 오너에게 효과를 주기 직전</t>
        </is>
      </c>
      <c r="D19" s="11" t="inlineStr">
        <is>
          <t>적용 확률</t>
        </is>
      </c>
      <c r="E19" s="11" t="inlineStr">
        <is>
          <t>미사용 (-1)</t>
        </is>
      </c>
    </row>
    <row r="20" ht="13.5" customHeight="1">
      <c r="B20" s="27" t="inlineStr">
        <is>
          <t>BackAttack</t>
        </is>
      </c>
      <c r="C20" s="11" t="inlineStr">
        <is>
          <t>대상의 뒤에서 대미지 판정 적중</t>
        </is>
      </c>
      <c r="D20" s="11" t="inlineStr">
        <is>
          <t>적용 확률</t>
        </is>
      </c>
      <c r="E20" s="11" t="inlineStr">
        <is>
          <t>미사용 (-1)</t>
        </is>
      </c>
    </row>
    <row r="21" ht="13.5" customHeight="1">
      <c r="A21" s="23" t="n"/>
      <c r="B21" s="27" t="inlineStr">
        <is>
          <t>StageStart</t>
        </is>
      </c>
      <c r="C21" s="11" t="inlineStr">
        <is>
          <t>스테이지 입장</t>
        </is>
      </c>
      <c r="D21" s="11" t="inlineStr">
        <is>
          <t>미사용 (-1)</t>
        </is>
      </c>
      <c r="E21" s="11" t="inlineStr">
        <is>
          <t>미사용 (-1)</t>
        </is>
      </c>
    </row>
    <row r="22" ht="13.5" customHeight="1">
      <c r="B22" s="27" t="inlineStr">
        <is>
          <t>KillTarget</t>
        </is>
      </c>
      <c r="C22" s="11" t="inlineStr">
        <is>
          <t>나의 스킬 또는 내가 건 StatusEffect로 적을 처치</t>
        </is>
      </c>
      <c r="D22" s="11" t="inlineStr">
        <is>
          <t>적용 확률</t>
        </is>
      </c>
      <c r="E22" s="11" t="inlineStr">
        <is>
          <t>미사용 (-1)</t>
        </is>
      </c>
    </row>
    <row r="23" ht="13.5" customHeight="1">
      <c r="B23" s="27" t="inlineStr">
        <is>
          <t>SwapWeapon</t>
        </is>
      </c>
      <c r="C23" s="11" t="inlineStr">
        <is>
          <t>무기 교체 시</t>
        </is>
      </c>
      <c r="D23" s="11" t="inlineStr">
        <is>
          <t>적용 확률</t>
        </is>
      </c>
      <c r="E23" s="11" t="inlineStr">
        <is>
          <t>미사용 (-1)</t>
        </is>
      </c>
    </row>
    <row r="24" ht="13.5" customHeight="1">
      <c r="B24" s="27" t="inlineStr">
        <is>
          <t>UseItem</t>
        </is>
      </c>
      <c r="C24" s="11" t="inlineStr">
        <is>
          <t>소모성 아이템 사용 시</t>
        </is>
      </c>
      <c r="D24" s="11" t="inlineStr">
        <is>
          <t>ItemDetailType Enum</t>
        </is>
      </c>
      <c r="E24" s="11" t="inlineStr">
        <is>
          <t>적용 확률</t>
        </is>
      </c>
    </row>
    <row r="25" ht="13.5" customHeight="1">
      <c r="B25" s="10" t="inlineStr">
        <is>
          <t>OwnStaminaZero</t>
        </is>
      </c>
      <c r="C25" s="11" t="inlineStr">
        <is>
          <t>스태미너가 0이 되었을 시</t>
        </is>
      </c>
      <c r="D25" s="11" t="inlineStr">
        <is>
          <t>0: 탈진 미적용, 1: 탈진 적용</t>
        </is>
      </c>
      <c r="E25" s="11" t="inlineStr">
        <is>
          <t>미사용 (-1)</t>
        </is>
      </c>
    </row>
    <row r="26" ht="13.5" customHeight="1">
      <c r="B26" s="10" t="inlineStr">
        <is>
          <t>DestroyObject</t>
        </is>
      </c>
      <c r="C26" s="13" t="inlineStr">
        <is>
          <t>오브젝트/프랍 파괴 시 (미구현)</t>
        </is>
      </c>
      <c r="D26" s="11" t="inlineStr">
        <is>
          <t>적용 확률</t>
        </is>
      </c>
      <c r="E26" s="11" t="inlineStr">
        <is>
          <t>미사용 (-1)</t>
        </is>
      </c>
    </row>
    <row r="27" ht="13.5" customHeight="1">
      <c r="B27" s="10" t="inlineStr">
        <is>
          <t>DungeonClear</t>
        </is>
      </c>
      <c r="C27" s="13" t="inlineStr">
        <is>
          <t>던전이 종료 시 (미구현)</t>
        </is>
      </c>
      <c r="D27" s="11" t="inlineStr">
        <is>
          <t>0=무조건 1=클리어 2=실패</t>
        </is>
      </c>
      <c r="E27" s="11" t="inlineStr">
        <is>
          <t>미사용 (-1)</t>
        </is>
      </c>
    </row>
    <row r="28" ht="13.5" customHeight="1">
      <c r="B28" s="10" t="inlineStr">
        <is>
          <t>InteractionOwnStart</t>
        </is>
      </c>
      <c r="C28" s="13" t="inlineStr">
        <is>
          <t>인터랙션 시작 시 (미구현)</t>
        </is>
      </c>
      <c r="D28" s="11" t="inlineStr">
        <is>
          <t>1=상자 2=문 3=부활</t>
        </is>
      </c>
      <c r="E28" s="11" t="inlineStr">
        <is>
          <t>적용 확률</t>
        </is>
      </c>
    </row>
    <row r="29" ht="13.5" customHeight="1">
      <c r="B29" s="10" t="inlineStr">
        <is>
          <t>GetStackItem</t>
        </is>
      </c>
      <c r="C29" s="13" t="inlineStr">
        <is>
          <t>스택되는 아이템을 획득하는 경우 (미구현)</t>
        </is>
      </c>
      <c r="D29" s="11" t="inlineStr">
        <is>
          <t>적용 확률</t>
        </is>
      </c>
      <c r="E29" s="11" t="inlineStr">
        <is>
          <t>미사용 (-1)</t>
        </is>
      </c>
    </row>
    <row r="30" ht="13.5" customHeight="1">
      <c r="B30" s="27" t="inlineStr">
        <is>
          <t>OverlapEnemy</t>
        </is>
      </c>
      <c r="C30" s="11" t="inlineStr">
        <is>
          <t>오버랩 검사에 적이 걸렸을 때</t>
        </is>
      </c>
      <c r="D30" s="11" t="inlineStr">
        <is>
          <t>미사용 (-1)</t>
        </is>
      </c>
      <c r="E30" s="11" t="inlineStr">
        <is>
          <t>미사용 (-1)</t>
        </is>
      </c>
    </row>
    <row r="31" ht="13.5" customHeight="1">
      <c r="B31" s="27" t="inlineStr">
        <is>
          <t>SkillArmorHitby</t>
        </is>
      </c>
      <c r="C31" s="11" t="inlineStr">
        <is>
          <t>스킬 사용 중 아머 시간 안에 피격되었을 때</t>
        </is>
      </c>
      <c r="D31" s="11" t="inlineStr">
        <is>
          <t>Skill ID</t>
        </is>
      </c>
      <c r="E31" s="11" t="inlineStr">
        <is>
          <t>미사용 (-1)</t>
        </is>
      </c>
    </row>
    <row r="32" ht="13.5" customHeight="1">
      <c r="B32" s="27" t="inlineStr">
        <is>
          <t>SetColliderHitby</t>
        </is>
      </c>
      <c r="C32" s="11" t="inlineStr">
        <is>
          <t>스킬로 생성한 콜라이더가 피격되었을 때</t>
        </is>
      </c>
      <c r="D32" s="11" t="inlineStr">
        <is>
          <t>미사용 (-1)</t>
        </is>
      </c>
      <c r="E32" s="11" t="inlineStr">
        <is>
          <t>미사용 (-1)</t>
        </is>
      </c>
    </row>
    <row r="33" ht="13.5" customHeight="1">
      <c r="B33" s="27" t="inlineStr">
        <is>
          <t>CastDebuffHit</t>
        </is>
      </c>
      <c r="C33" s="11" t="inlineStr">
        <is>
          <t>디버프를 상대에게 발생시켰을때</t>
        </is>
      </c>
      <c r="D33" s="38" t="inlineStr">
        <is>
          <t>적용 확률 (만분율)</t>
        </is>
      </c>
      <c r="E33" s="11" t="inlineStr">
        <is>
          <t>미사용 (-1)</t>
        </is>
      </c>
    </row>
    <row r="34" ht="13.5" customHeight="1">
      <c r="B34" s="27" t="inlineStr">
        <is>
          <t>GetDebuff</t>
        </is>
      </c>
      <c r="C34" s="11" t="inlineStr">
        <is>
          <t>디버프에 걸릴때</t>
        </is>
      </c>
      <c r="D34" s="38" t="inlineStr">
        <is>
          <t>적용 확률 (만분율)</t>
        </is>
      </c>
      <c r="E34" s="11" t="inlineStr">
        <is>
          <t>미사용 (-1)</t>
        </is>
      </c>
    </row>
    <row r="35" ht="13.5" customHeight="1">
      <c r="B35" s="10" t="inlineStr">
        <is>
          <t>OwnAggroValueCompare</t>
        </is>
      </c>
      <c r="C35" s="11" t="inlineStr">
        <is>
          <t>어그로 수치 조건 체크</t>
        </is>
      </c>
      <c r="D35" s="38" t="inlineStr">
        <is>
          <t>어그로 수치 설정</t>
        </is>
      </c>
      <c r="E35" s="11" t="inlineStr">
        <is>
          <t>0=같음, 1=이하, 2=이상</t>
        </is>
      </c>
    </row>
    <row r="36" ht="13.5" customHeight="1">
      <c r="B36" s="27" t="inlineStr">
        <is>
          <t>DebuffOwnerHit</t>
        </is>
      </c>
      <c r="C36" s="11" t="inlineStr">
        <is>
          <t xml:space="preserve">디버프에 걸린 상대에 공격을 적중시킨 경우 </t>
        </is>
      </c>
      <c r="D36" s="38" t="inlineStr">
        <is>
          <t>적용 확률 (만분율)</t>
        </is>
      </c>
      <c r="E36" s="11" t="inlineStr">
        <is>
          <t>미사용 (-1)</t>
        </is>
      </c>
    </row>
    <row r="37" ht="12.75" customHeight="1">
      <c r="A37" s="23" t="inlineStr">
        <is>
          <t>(new)</t>
        </is>
      </c>
      <c r="B37" s="35" t="inlineStr">
        <is>
          <t>GetAssist</t>
        </is>
      </c>
      <c r="C37" s="11" t="inlineStr">
        <is>
          <t>자신(또는 주변 아군)이 어시스트를 달성함</t>
        </is>
      </c>
      <c r="D37" s="3" t="inlineStr">
        <is>
          <t>1=자신, 1=주변아군(자신포함), 2=모든 아군</t>
        </is>
      </c>
      <c r="E37" s="11" t="inlineStr">
        <is>
          <t>적용 확률</t>
        </is>
      </c>
    </row>
    <row r="38" ht="13.5" customHeight="1">
      <c r="A38" s="23" t="inlineStr">
        <is>
          <t>(new)</t>
        </is>
      </c>
      <c r="B38" s="35" t="inlineStr">
        <is>
          <t>GetAssistOrKill</t>
        </is>
      </c>
      <c r="C38" s="11" t="inlineStr">
        <is>
          <t>자신(또는 주변 아군)이 어시스트 또는 킬을 달성함</t>
        </is>
      </c>
      <c r="D38" s="3" t="inlineStr">
        <is>
          <t>1=자신, 1=주변아군(자신포함), 2=모든 아군</t>
        </is>
      </c>
      <c r="E38" s="11" t="inlineStr">
        <is>
          <t>적용 확률</t>
        </is>
      </c>
    </row>
    <row r="39" ht="13.5" customHeight="1">
      <c r="A39" s="23" t="inlineStr">
        <is>
          <t>(new)</t>
        </is>
      </c>
      <c r="B39" s="35" t="inlineStr">
        <is>
          <t>Respawned</t>
        </is>
      </c>
      <c r="C39" s="11" t="inlineStr">
        <is>
          <t>리스폰을 통해 등장함</t>
        </is>
      </c>
      <c r="D39" s="11" t="inlineStr">
        <is>
          <t>미사용 (-1)</t>
        </is>
      </c>
      <c r="E39" s="11" t="inlineStr">
        <is>
          <t>미사용 (-1)</t>
        </is>
      </c>
    </row>
    <row r="40" ht="13.5" customHeight="1">
      <c r="A40" s="23" t="inlineStr">
        <is>
          <t>(new)</t>
        </is>
      </c>
      <c r="B40" s="35" t="inlineStr">
        <is>
          <t>OwnShieldPercentCompare</t>
        </is>
      </c>
      <c r="C40" s="11" t="inlineStr">
        <is>
          <t>내 현재 보호막과 최대 보호막을 비교</t>
        </is>
      </c>
      <c r="D40" s="11" t="inlineStr">
        <is>
          <t>발동할 비율</t>
        </is>
      </c>
      <c r="E40" s="11" t="inlineStr">
        <is>
          <t>0=같음, 1=미만, 2=초과, 3=이하, 4=이상</t>
        </is>
      </c>
      <c r="F40" s="3" t="inlineStr">
        <is>
          <t>※ 값이 없으면 0으로 수행</t>
        </is>
      </c>
    </row>
    <row r="41" ht="13.5" customHeight="1">
      <c r="A41" s="23" t="inlineStr">
        <is>
          <t>(new)</t>
        </is>
      </c>
      <c r="B41" s="35" t="inlineStr">
        <is>
          <t>KillTargetNearbyEnemySource</t>
        </is>
      </c>
      <c r="C41" s="11" t="inlineStr">
        <is>
          <t>적 처치시 주변의 적을 source로 넘겨줌</t>
        </is>
      </c>
      <c r="D41" s="11" t="inlineStr">
        <is>
          <t>탐색 거리 (cm)</t>
        </is>
      </c>
      <c r="E41" s="11" t="inlineStr">
        <is>
          <t>최대 탐지 인원 수 (이하)</t>
        </is>
      </c>
    </row>
    <row r="42">
      <c r="A42" s="23" t="inlineStr">
        <is>
          <t>(new)</t>
        </is>
      </c>
      <c r="B42" s="35" t="inlineStr">
        <is>
          <t>ApplyPassiveEffect</t>
        </is>
      </c>
      <c r="C42" s="11" t="inlineStr">
        <is>
          <t>PassiveEffect를 적용함 (사망 시 초기화)</t>
        </is>
      </c>
      <c r="D42" s="11" t="inlineStr">
        <is>
          <t>PassiveEffect ID</t>
        </is>
      </c>
      <c r="E42" s="11" t="inlineStr">
        <is>
          <t>조건 충족에 필요한 횟수</t>
        </is>
      </c>
    </row>
    <row r="43" ht="13.5" customHeight="1"/>
    <row r="62">
      <c r="C62" s="4" t="n"/>
    </row>
    <row r="63">
      <c r="C63" s="4" t="n"/>
    </row>
    <row r="66" customFormat="1" s="5"/>
    <row r="69" ht="23.25" customHeight="1">
      <c r="B69" s="2" t="inlineStr">
        <is>
          <t>PassiveEffect</t>
        </is>
      </c>
    </row>
    <row r="71" ht="13.5" customHeight="1">
      <c r="B71" s="6" t="inlineStr">
        <is>
          <t>passive_effect_type</t>
        </is>
      </c>
      <c r="C71" s="17" t="n"/>
      <c r="D71" s="17" t="n"/>
      <c r="E71" s="17" t="n"/>
      <c r="F71" s="17" t="n"/>
      <c r="G71" s="17" t="n"/>
      <c r="H71" s="17" t="n"/>
    </row>
    <row r="72" ht="13.5" customHeight="1">
      <c r="B72" s="18" t="inlineStr">
        <is>
          <t>값</t>
        </is>
      </c>
      <c r="C72" s="18" t="inlineStr">
        <is>
          <t>설명</t>
        </is>
      </c>
      <c r="D72" s="18" t="inlineStr">
        <is>
          <t>effect_target_id</t>
        </is>
      </c>
      <c r="E72" s="18" t="inlineStr">
        <is>
          <t>value1</t>
        </is>
      </c>
      <c r="F72" s="18" t="inlineStr">
        <is>
          <t>value2</t>
        </is>
      </c>
      <c r="G72" s="18" t="inlineStr">
        <is>
          <t>value3</t>
        </is>
      </c>
      <c r="H72" s="18" t="inlineStr">
        <is>
          <t>value4</t>
        </is>
      </c>
    </row>
    <row r="73" ht="13.5" customHeight="1">
      <c r="B73" s="28" t="inlineStr">
        <is>
          <t>ModSkillCool</t>
        </is>
      </c>
      <c r="C73" s="20" t="inlineStr">
        <is>
          <t>액티브 스킬 그룹의 쿨다운 증감</t>
        </is>
      </c>
      <c r="D73" s="20" t="inlineStr">
        <is>
          <t>SkillGroup</t>
        </is>
      </c>
      <c r="E73" s="20" t="inlineStr">
        <is>
          <t>증감 값</t>
        </is>
      </c>
      <c r="F73" s="20" t="inlineStr">
        <is>
          <t>미사용 (-1)</t>
        </is>
      </c>
      <c r="G73" s="20" t="inlineStr">
        <is>
          <t>미사용 (-1)</t>
        </is>
      </c>
      <c r="H73" s="20" t="inlineStr">
        <is>
          <t>미사용 (-1)</t>
        </is>
      </c>
    </row>
    <row r="74" ht="13.5" customHeight="1">
      <c r="B74" s="28" t="inlineStr">
        <is>
          <t>RunExecute</t>
        </is>
      </c>
      <c r="C74" s="20" t="inlineStr">
        <is>
          <t>보유자가 execute 즉시 실행</t>
        </is>
      </c>
      <c r="D74" s="20" t="inlineStr">
        <is>
          <t>Execute</t>
        </is>
      </c>
      <c r="E74" s="20" t="inlineStr">
        <is>
          <t>미사용 (-1)</t>
        </is>
      </c>
      <c r="F74" s="20" t="inlineStr">
        <is>
          <t>미사용 (-1)</t>
        </is>
      </c>
      <c r="G74" s="20" t="inlineStr">
        <is>
          <t>미사용 (-1)</t>
        </is>
      </c>
      <c r="H74" s="20" t="inlineStr">
        <is>
          <t>미사용 (-1)</t>
        </is>
      </c>
    </row>
    <row r="75" ht="13.5" customHeight="1">
      <c r="B75" s="28" t="inlineStr">
        <is>
          <t>GetStatusEffectCurrentHitTarget</t>
        </is>
      </c>
      <c r="C75" s="20" t="inlineStr">
        <is>
          <t>보유자로부터 최근 피격된 대상에게 StatusEffect 적용</t>
        </is>
      </c>
      <c r="D75" s="20" t="inlineStr">
        <is>
          <t>StatusEffect</t>
        </is>
      </c>
      <c r="E75" s="20" t="inlineStr">
        <is>
          <t>지속 시간 (-1: 패시브 활성화 동안)</t>
        </is>
      </c>
      <c r="F75" s="20" t="inlineStr">
        <is>
          <t>미사용 (-1)</t>
        </is>
      </c>
      <c r="G75" s="20" t="inlineStr">
        <is>
          <t>미사용 (-1)</t>
        </is>
      </c>
      <c r="H75" s="20" t="inlineStr">
        <is>
          <t>미사용 (-1)</t>
        </is>
      </c>
    </row>
    <row r="76" ht="13.5" customHeight="1">
      <c r="B76" s="28" t="inlineStr">
        <is>
          <t>ModOwnExecuteRangeDivideCount</t>
        </is>
      </c>
      <c r="C76" s="20" t="inlineStr">
        <is>
          <t>보유자가 발동하는 ExecuteRange의 DivideCount 값 증감</t>
        </is>
      </c>
      <c r="D76" s="20" t="inlineStr">
        <is>
          <t>ExecuteRange</t>
        </is>
      </c>
      <c r="E76" s="20" t="inlineStr">
        <is>
          <t>증감 값</t>
        </is>
      </c>
      <c r="F76" s="20" t="inlineStr">
        <is>
          <t>미사용 (-1)</t>
        </is>
      </c>
      <c r="G76" s="20" t="inlineStr">
        <is>
          <t>미사용 (-1)</t>
        </is>
      </c>
      <c r="H76" s="20" t="inlineStr">
        <is>
          <t>미사용 (-1)</t>
        </is>
      </c>
    </row>
    <row r="77" ht="13.5" customHeight="1">
      <c r="B77" s="28" t="inlineStr">
        <is>
          <t>ModOwnExecuteRangeRepeatDuration</t>
        </is>
      </c>
      <c r="C77" s="20" t="inlineStr">
        <is>
          <t>보유자가 발동하는 ExecuteRange의 RepeatDuration 값 증감</t>
        </is>
      </c>
      <c r="D77" s="20" t="inlineStr">
        <is>
          <t>ExecuteRange</t>
        </is>
      </c>
      <c r="E77" s="20" t="inlineStr">
        <is>
          <t>증감 값</t>
        </is>
      </c>
      <c r="F77" s="20" t="inlineStr">
        <is>
          <t>미사용 (-1)</t>
        </is>
      </c>
      <c r="G77" s="20" t="inlineStr">
        <is>
          <t>미사용 (-1)</t>
        </is>
      </c>
      <c r="H77" s="20" t="inlineStr">
        <is>
          <t>미사용 (-1)</t>
        </is>
      </c>
    </row>
    <row r="78" ht="13.5" customHeight="1">
      <c r="B78" s="28" t="inlineStr">
        <is>
          <t>GetStatusEffect</t>
        </is>
      </c>
      <c r="C78" s="20" t="inlineStr">
        <is>
          <t>보유자가 StatusEffect 획득</t>
        </is>
      </c>
      <c r="D78" s="20" t="inlineStr">
        <is>
          <t>StatusEffect</t>
        </is>
      </c>
      <c r="E78" s="20" t="inlineStr">
        <is>
          <t>지속 시간 (-1: 패시브 활성화 동안)</t>
        </is>
      </c>
      <c r="F78" s="20" t="inlineStr">
        <is>
          <t>미사용 (-1)</t>
        </is>
      </c>
      <c r="G78" s="20" t="inlineStr">
        <is>
          <t>미사용 (-1)</t>
        </is>
      </c>
      <c r="H78" s="20" t="inlineStr">
        <is>
          <t>미사용 (-1)</t>
        </is>
      </c>
      <c r="I78" s="4" t="n"/>
    </row>
    <row r="79" ht="13.5" customHeight="1">
      <c r="B79" s="19" t="inlineStr">
        <is>
          <t>ModStrength</t>
        </is>
      </c>
      <c r="C79" s="20" t="inlineStr">
        <is>
          <t>보유자의 힘 증감</t>
        </is>
      </c>
      <c r="D79" s="20" t="inlineStr">
        <is>
          <t>미사용 (-1)</t>
        </is>
      </c>
      <c r="E79" s="20" t="inlineStr">
        <is>
          <t>증감 값</t>
        </is>
      </c>
      <c r="F79" s="20" t="inlineStr">
        <is>
          <t>미사용 (-1)</t>
        </is>
      </c>
      <c r="G79" s="20" t="inlineStr">
        <is>
          <t>미사용 (-1)</t>
        </is>
      </c>
      <c r="H79" s="20" t="inlineStr">
        <is>
          <t>미사용 (-1)</t>
        </is>
      </c>
    </row>
    <row r="80" ht="13.5" customHeight="1">
      <c r="B80" s="19" t="inlineStr">
        <is>
          <t>ModIntelligence</t>
        </is>
      </c>
      <c r="C80" s="20" t="inlineStr">
        <is>
          <t>보유자의 지능 증감</t>
        </is>
      </c>
      <c r="D80" s="20" t="inlineStr">
        <is>
          <t>미사용 (-1)</t>
        </is>
      </c>
      <c r="E80" s="20" t="inlineStr">
        <is>
          <t>증감 값</t>
        </is>
      </c>
      <c r="F80" s="20" t="inlineStr">
        <is>
          <t>미사용 (-1)</t>
        </is>
      </c>
      <c r="G80" s="20" t="inlineStr">
        <is>
          <t>미사용 (-1)</t>
        </is>
      </c>
      <c r="H80" s="20" t="inlineStr">
        <is>
          <t>미사용 (-1)</t>
        </is>
      </c>
    </row>
    <row r="81" ht="13.5" customHeight="1">
      <c r="B81" s="19" t="inlineStr">
        <is>
          <t>ModDexterity</t>
        </is>
      </c>
      <c r="C81" s="20" t="inlineStr">
        <is>
          <t>보유자의 민첩 증감</t>
        </is>
      </c>
      <c r="D81" s="20" t="inlineStr">
        <is>
          <t>미사용 (-1)</t>
        </is>
      </c>
      <c r="E81" s="20" t="inlineStr">
        <is>
          <t>증감 값</t>
        </is>
      </c>
      <c r="F81" s="20" t="inlineStr">
        <is>
          <t>미사용 (-1)</t>
        </is>
      </c>
      <c r="G81" s="20" t="inlineStr">
        <is>
          <t>미사용 (-1)</t>
        </is>
      </c>
      <c r="H81" s="20" t="inlineStr">
        <is>
          <t>미사용 (-1)</t>
        </is>
      </c>
    </row>
    <row r="82" ht="13.5" customHeight="1">
      <c r="B82" s="19" t="inlineStr">
        <is>
          <t>ModWisdom</t>
        </is>
      </c>
      <c r="C82" s="20" t="inlineStr">
        <is>
          <t>보유자의 지혜 증감</t>
        </is>
      </c>
      <c r="D82" s="20" t="inlineStr">
        <is>
          <t>미사용 (-1)</t>
        </is>
      </c>
      <c r="E82" s="20" t="inlineStr">
        <is>
          <t>증감 값</t>
        </is>
      </c>
      <c r="F82" s="20" t="inlineStr">
        <is>
          <t>미사용 (-1)</t>
        </is>
      </c>
      <c r="G82" s="20" t="inlineStr">
        <is>
          <t>미사용 (-1)</t>
        </is>
      </c>
      <c r="H82" s="20" t="inlineStr">
        <is>
          <t>미사용 (-1)</t>
        </is>
      </c>
    </row>
    <row r="83" ht="13.5" customHeight="1">
      <c r="B83" s="19" t="inlineStr">
        <is>
          <t>ModConstitution</t>
        </is>
      </c>
      <c r="C83" s="20" t="inlineStr">
        <is>
          <t>보유자의 건강 증감</t>
        </is>
      </c>
      <c r="D83" s="20" t="inlineStr">
        <is>
          <t>미사용 (-1)</t>
        </is>
      </c>
      <c r="E83" s="20" t="inlineStr">
        <is>
          <t>증감 값</t>
        </is>
      </c>
      <c r="F83" s="20" t="inlineStr">
        <is>
          <t>미사용 (-1)</t>
        </is>
      </c>
      <c r="G83" s="20" t="inlineStr">
        <is>
          <t>미사용 (-1)</t>
        </is>
      </c>
      <c r="H83" s="20" t="inlineStr">
        <is>
          <t>미사용 (-1)</t>
        </is>
      </c>
    </row>
    <row r="84" ht="13.5" customHeight="1">
      <c r="B84" s="30" t="inlineStr">
        <is>
          <t>ModRateNormalAttack</t>
        </is>
      </c>
      <c r="C84" s="31" t="inlineStr">
        <is>
          <t>보유자의 사격 공격력 증감(%)</t>
        </is>
      </c>
      <c r="D84" s="20" t="inlineStr">
        <is>
          <t>미사용 (-1)</t>
        </is>
      </c>
      <c r="E84" s="20" t="inlineStr">
        <is>
          <t>증감율</t>
        </is>
      </c>
      <c r="F84" s="20" t="inlineStr">
        <is>
          <t>미사용 (-1)</t>
        </is>
      </c>
      <c r="G84" s="20" t="inlineStr">
        <is>
          <t>미사용 (-1)</t>
        </is>
      </c>
      <c r="H84" s="20" t="inlineStr">
        <is>
          <t>미사용 (-1)</t>
        </is>
      </c>
    </row>
    <row r="85" ht="13.5" customHeight="1">
      <c r="B85" s="19" t="inlineStr">
        <is>
          <t>ModRateArmor</t>
        </is>
      </c>
      <c r="C85" s="20" t="inlineStr">
        <is>
          <t>보유자의 물리 방어력 증감(%)</t>
        </is>
      </c>
      <c r="D85" s="20" t="inlineStr">
        <is>
          <t>미사용 (-1)</t>
        </is>
      </c>
      <c r="E85" s="20" t="inlineStr">
        <is>
          <t>증감율</t>
        </is>
      </c>
      <c r="F85" s="20" t="inlineStr">
        <is>
          <t>미사용 (-1)</t>
        </is>
      </c>
      <c r="G85" s="20" t="inlineStr">
        <is>
          <t>미사용 (-1)</t>
        </is>
      </c>
      <c r="H85" s="20" t="inlineStr">
        <is>
          <t>미사용 (-1)</t>
        </is>
      </c>
    </row>
    <row r="86" ht="13.5" customHeight="1">
      <c r="B86" s="19" t="inlineStr">
        <is>
          <t>ModRateElementalResist</t>
        </is>
      </c>
      <c r="C86" s="20" t="inlineStr">
        <is>
          <t>보유자의 모든 속성 저항=마법 저항력 증감(%)</t>
        </is>
      </c>
      <c r="D86" s="20" t="inlineStr">
        <is>
          <t>미사용 (-1)</t>
        </is>
      </c>
      <c r="E86" s="20" t="inlineStr">
        <is>
          <t>증감율</t>
        </is>
      </c>
      <c r="F86" s="20" t="inlineStr">
        <is>
          <t>미사용 (-1)</t>
        </is>
      </c>
      <c r="G86" s="20" t="inlineStr">
        <is>
          <t>미사용 (-1)</t>
        </is>
      </c>
      <c r="H86" s="20" t="inlineStr">
        <is>
          <t>미사용 (-1)</t>
        </is>
      </c>
    </row>
    <row r="87" ht="13.5" customHeight="1">
      <c r="B87" s="19" t="inlineStr">
        <is>
          <t>ModRateMeleeDamage</t>
        </is>
      </c>
      <c r="C87" s="20" t="inlineStr">
        <is>
          <t>보유자의 물리 근접 대미지 증감(%)</t>
        </is>
      </c>
      <c r="D87" s="20" t="inlineStr">
        <is>
          <t>미사용 (-1)</t>
        </is>
      </c>
      <c r="E87" s="20" t="inlineStr">
        <is>
          <t>증감율</t>
        </is>
      </c>
      <c r="F87" s="20" t="inlineStr">
        <is>
          <t>미사용 (-1)</t>
        </is>
      </c>
      <c r="G87" s="20" t="inlineStr">
        <is>
          <t>미사용 (-1)</t>
        </is>
      </c>
      <c r="H87" s="20" t="inlineStr">
        <is>
          <t>미사용 (-1)</t>
        </is>
      </c>
    </row>
    <row r="88" ht="13.5" customHeight="1">
      <c r="B88" s="19" t="inlineStr">
        <is>
          <t>ModRateRangedDamage</t>
        </is>
      </c>
      <c r="C88" s="20" t="inlineStr">
        <is>
          <t>보유자의 물리 원거리 대미지 증감(%)</t>
        </is>
      </c>
      <c r="D88" s="20" t="inlineStr">
        <is>
          <t>미사용 (-1)</t>
        </is>
      </c>
      <c r="E88" s="20" t="inlineStr">
        <is>
          <t>증감율</t>
        </is>
      </c>
      <c r="F88" s="20" t="inlineStr">
        <is>
          <t>미사용 (-1)</t>
        </is>
      </c>
      <c r="G88" s="20" t="inlineStr">
        <is>
          <t>미사용 (-1)</t>
        </is>
      </c>
      <c r="H88" s="20" t="inlineStr">
        <is>
          <t>미사용 (-1)</t>
        </is>
      </c>
    </row>
    <row r="89" ht="13.5" customHeight="1">
      <c r="B89" s="19" t="inlineStr">
        <is>
          <t>ModRateElementalDamage</t>
        </is>
      </c>
      <c r="C89" s="20" t="inlineStr">
        <is>
          <t>보유자의 모든 속성 공격=마법 대미지 증감(%)</t>
        </is>
      </c>
      <c r="D89" s="20" t="inlineStr">
        <is>
          <t>미사용 (-1)</t>
        </is>
      </c>
      <c r="E89" s="20" t="inlineStr">
        <is>
          <t>증감율</t>
        </is>
      </c>
      <c r="F89" s="20" t="inlineStr">
        <is>
          <t>미사용 (-1)</t>
        </is>
      </c>
      <c r="G89" s="20" t="inlineStr">
        <is>
          <t>미사용 (-1)</t>
        </is>
      </c>
      <c r="H89" s="20" t="inlineStr">
        <is>
          <t>미사용 (-1)</t>
        </is>
      </c>
    </row>
    <row r="90" ht="13.5" customHeight="1">
      <c r="B90" s="28" t="inlineStr">
        <is>
          <t>ModRateHeal</t>
        </is>
      </c>
      <c r="C90" s="20" t="inlineStr">
        <is>
          <t>보유자의 주는 치유량. 힐 줄때 증감(%)</t>
        </is>
      </c>
      <c r="D90" s="20" t="inlineStr">
        <is>
          <t>미사용 (-1)</t>
        </is>
      </c>
      <c r="E90" s="20" t="inlineStr">
        <is>
          <t>증감율</t>
        </is>
      </c>
      <c r="F90" s="20" t="inlineStr">
        <is>
          <t>미사용 (-1)</t>
        </is>
      </c>
      <c r="G90" s="20" t="inlineStr">
        <is>
          <t>미사용 (-1)</t>
        </is>
      </c>
      <c r="H90" s="20" t="inlineStr">
        <is>
          <t>미사용 (-1)</t>
        </is>
      </c>
    </row>
    <row r="91" ht="13.5" customHeight="1">
      <c r="B91" s="28" t="inlineStr">
        <is>
          <t>ModRateHealBy</t>
        </is>
      </c>
      <c r="C91" s="20" t="inlineStr">
        <is>
          <t>보유자의 받는 치유량. 포션, 힐 받을때 증감(%)</t>
        </is>
      </c>
      <c r="D91" s="20" t="inlineStr">
        <is>
          <t>미사용 (-1)</t>
        </is>
      </c>
      <c r="E91" s="20" t="inlineStr">
        <is>
          <t>증감율</t>
        </is>
      </c>
      <c r="F91" s="20" t="inlineStr">
        <is>
          <t>미사용 (-1)</t>
        </is>
      </c>
      <c r="G91" s="20" t="inlineStr">
        <is>
          <t>미사용 (-1)</t>
        </is>
      </c>
      <c r="H91" s="20" t="inlineStr">
        <is>
          <t>미사용 (-1)</t>
        </is>
      </c>
    </row>
    <row r="92" ht="13.5" customHeight="1">
      <c r="B92" s="19" t="inlineStr">
        <is>
          <t>ModRateStaminaRecovery</t>
        </is>
      </c>
      <c r="C92" s="20" t="inlineStr">
        <is>
          <t>보유자의 스태미너 회복속도 증감(%)</t>
        </is>
      </c>
      <c r="D92" s="20" t="inlineStr">
        <is>
          <t>미사용 (-1)</t>
        </is>
      </c>
      <c r="E92" s="20" t="inlineStr">
        <is>
          <t>증감율</t>
        </is>
      </c>
      <c r="F92" s="20" t="inlineStr">
        <is>
          <t>미사용 (-1)</t>
        </is>
      </c>
      <c r="G92" s="20" t="inlineStr">
        <is>
          <t>미사용 (-1)</t>
        </is>
      </c>
      <c r="H92" s="20" t="inlineStr">
        <is>
          <t>미사용 (-1)</t>
        </is>
      </c>
    </row>
    <row r="93" ht="13.5" customHeight="1">
      <c r="B93" s="28" t="inlineStr">
        <is>
          <t>ModRateInteractionSpeed</t>
        </is>
      </c>
      <c r="C93" s="20" t="inlineStr">
        <is>
          <t>보유자의 인터랙션 속도 증감(%)</t>
        </is>
      </c>
      <c r="D93" s="20" t="inlineStr">
        <is>
          <t>미사용 (-1)</t>
        </is>
      </c>
      <c r="E93" s="20" t="inlineStr">
        <is>
          <t>증감율</t>
        </is>
      </c>
      <c r="F93" s="20" t="inlineStr">
        <is>
          <t>미사용 (-1)</t>
        </is>
      </c>
      <c r="G93" s="20" t="inlineStr">
        <is>
          <t>미사용 (-1)</t>
        </is>
      </c>
      <c r="H93" s="20" t="inlineStr">
        <is>
          <t>미사용 (-1)</t>
        </is>
      </c>
    </row>
    <row r="94" ht="13.5" customHeight="1">
      <c r="B94" s="28" t="inlineStr">
        <is>
          <t>ModRateMoveSpeed</t>
        </is>
      </c>
      <c r="C94" s="20" t="inlineStr">
        <is>
          <t>보유자의 이동 속도 증감(%)</t>
        </is>
      </c>
      <c r="D94" s="20" t="inlineStr">
        <is>
          <t>미사용 (-1)</t>
        </is>
      </c>
      <c r="E94" s="20" t="inlineStr">
        <is>
          <t>증감율</t>
        </is>
      </c>
      <c r="F94" s="20" t="inlineStr">
        <is>
          <t>미사용 (-1)</t>
        </is>
      </c>
      <c r="G94" s="20" t="inlineStr">
        <is>
          <t>미사용 (-1)</t>
        </is>
      </c>
      <c r="H94" s="20" t="inlineStr">
        <is>
          <t>미사용 (-1)</t>
        </is>
      </c>
    </row>
    <row r="95" ht="13.5" customHeight="1">
      <c r="B95" s="30" t="inlineStr">
        <is>
          <t>ModRateNormalAttackSpeed</t>
        </is>
      </c>
      <c r="C95" s="31" t="inlineStr">
        <is>
          <t>보유자의 사격 속도 증감(%)</t>
        </is>
      </c>
      <c r="D95" s="20" t="inlineStr">
        <is>
          <t>미사용 (-1)</t>
        </is>
      </c>
      <c r="E95" s="20" t="inlineStr">
        <is>
          <t>증감율</t>
        </is>
      </c>
      <c r="F95" s="20" t="inlineStr">
        <is>
          <t>미사용 (-1)</t>
        </is>
      </c>
      <c r="G95" s="20" t="inlineStr">
        <is>
          <t>미사용 (-1)</t>
        </is>
      </c>
      <c r="H95" s="20" t="inlineStr">
        <is>
          <t>미사용 (-1)</t>
        </is>
      </c>
    </row>
    <row r="96" ht="13.5" customHeight="1">
      <c r="B96" s="28" t="inlineStr">
        <is>
          <t>ModRateBuffDuration</t>
        </is>
      </c>
      <c r="C96" s="20" t="inlineStr">
        <is>
          <t>보유자의 버프받을때 지속 시간 보정 증감(%)</t>
        </is>
      </c>
      <c r="D96" s="20" t="inlineStr">
        <is>
          <t>미사용 (-1)</t>
        </is>
      </c>
      <c r="E96" s="20" t="inlineStr">
        <is>
          <t>증감율</t>
        </is>
      </c>
      <c r="F96" s="20" t="inlineStr">
        <is>
          <t>미사용 (-1)</t>
        </is>
      </c>
      <c r="G96" s="20" t="inlineStr">
        <is>
          <t>미사용 (-1)</t>
        </is>
      </c>
      <c r="H96" s="20" t="inlineStr">
        <is>
          <t>미사용 (-1)</t>
        </is>
      </c>
    </row>
    <row r="97" ht="13.5" customHeight="1">
      <c r="B97" s="28" t="inlineStr">
        <is>
          <t>ModRateDebuffDuration</t>
        </is>
      </c>
      <c r="C97" s="20" t="inlineStr">
        <is>
          <t>보유자의 디버프받을때 지속 시간 보정 증감(%)</t>
        </is>
      </c>
      <c r="D97" s="20" t="inlineStr">
        <is>
          <t>미사용 (-1)</t>
        </is>
      </c>
      <c r="E97" s="20" t="inlineStr">
        <is>
          <t>증감율</t>
        </is>
      </c>
      <c r="F97" s="20" t="inlineStr">
        <is>
          <t>미사용 (-1)</t>
        </is>
      </c>
      <c r="G97" s="20" t="inlineStr">
        <is>
          <t>미사용 (-1)</t>
        </is>
      </c>
      <c r="H97" s="20" t="inlineStr">
        <is>
          <t>미사용 (-1)</t>
        </is>
      </c>
    </row>
    <row r="98" ht="13.5" customHeight="1">
      <c r="B98" s="19" t="inlineStr">
        <is>
          <t>ModCriticalStrike</t>
        </is>
      </c>
      <c r="C98" s="20" t="inlineStr">
        <is>
          <t>보유자의 치명타 확률 증감</t>
        </is>
      </c>
      <c r="D98" s="20" t="inlineStr">
        <is>
          <t>미사용 (-1)</t>
        </is>
      </c>
      <c r="E98" s="20" t="inlineStr">
        <is>
          <t>증감 값</t>
        </is>
      </c>
      <c r="F98" s="20" t="inlineStr">
        <is>
          <t>미사용 (-1)</t>
        </is>
      </c>
      <c r="G98" s="20" t="inlineStr">
        <is>
          <t>미사용 (-1)</t>
        </is>
      </c>
      <c r="H98" s="20" t="inlineStr">
        <is>
          <t>미사용 (-1)</t>
        </is>
      </c>
    </row>
    <row r="99" ht="13.5" customHeight="1">
      <c r="B99" s="19" t="inlineStr">
        <is>
          <t>ModCriticalStrikeDamage</t>
        </is>
      </c>
      <c r="C99" s="20" t="inlineStr">
        <is>
          <t>보유자의 치명타 피해량 증감</t>
        </is>
      </c>
      <c r="D99" s="20" t="inlineStr">
        <is>
          <t>미사용 (-1)</t>
        </is>
      </c>
      <c r="E99" s="20" t="inlineStr">
        <is>
          <t>증감 값</t>
        </is>
      </c>
      <c r="F99" s="20" t="inlineStr">
        <is>
          <t>미사용 (-1)</t>
        </is>
      </c>
      <c r="G99" s="20" t="inlineStr">
        <is>
          <t>미사용 (-1)</t>
        </is>
      </c>
      <c r="H99" s="20" t="inlineStr">
        <is>
          <t>미사용 (-1)</t>
        </is>
      </c>
    </row>
    <row r="100" ht="13.5" customHeight="1">
      <c r="B100" s="28" t="inlineStr">
        <is>
          <t>ModEnergyValue</t>
        </is>
      </c>
      <c r="C100" s="20" t="inlineStr">
        <is>
          <t>자원 값 증감(change_en_type은 미리 세팅 되어 있어야 함)</t>
        </is>
      </c>
      <c r="D100" s="20" t="inlineStr">
        <is>
          <t>Skill</t>
        </is>
      </c>
      <c r="E100" s="20" t="inlineStr">
        <is>
          <t>change_en_value 증감 값</t>
        </is>
      </c>
      <c r="F100" s="20" t="inlineStr">
        <is>
          <t>change_en_tick 증감 값</t>
        </is>
      </c>
      <c r="G100" s="20" t="inlineStr">
        <is>
          <t>change_en_value_tick 증감 값</t>
        </is>
      </c>
      <c r="H100" s="20" t="inlineStr">
        <is>
          <t>미사용 (-1)</t>
        </is>
      </c>
    </row>
    <row r="101" ht="13.5" customHeight="1">
      <c r="B101" s="28" t="inlineStr">
        <is>
          <t>SwapExecuteValue</t>
        </is>
      </c>
      <c r="C101" s="20" t="inlineStr">
        <is>
          <t>Execute의 effect 키값을 교체</t>
        </is>
      </c>
      <c r="D101" s="20" t="inlineStr">
        <is>
          <t>Execute</t>
        </is>
      </c>
      <c r="E101" s="20" t="inlineStr">
        <is>
          <t>교체할 ExecuteEffect id1</t>
        </is>
      </c>
      <c r="F101" s="20" t="inlineStr">
        <is>
          <t>교체할 ExecuteEffect id2</t>
        </is>
      </c>
      <c r="G101" s="20" t="inlineStr">
        <is>
          <t>교체할 ExecuteEffect id3</t>
        </is>
      </c>
      <c r="H101" s="20" t="inlineStr">
        <is>
          <t>교체할 ExecuteEffect id4</t>
        </is>
      </c>
    </row>
    <row r="102" ht="13.5" customHeight="1">
      <c r="B102" s="28" t="inlineStr">
        <is>
          <t>SwapExecuteRangeValue</t>
        </is>
      </c>
      <c r="C102" s="20" t="inlineStr">
        <is>
          <t>ExecuteRange의 shape_value 값을 교체 (id 교체와 동시 적용 불가)</t>
        </is>
      </c>
      <c r="D102" s="20" t="inlineStr">
        <is>
          <t>ExecuteRange</t>
        </is>
      </c>
      <c r="E102" s="20" t="inlineStr">
        <is>
          <t>shape_value1</t>
        </is>
      </c>
      <c r="F102" s="20" t="inlineStr">
        <is>
          <t>shape_value2</t>
        </is>
      </c>
      <c r="G102" s="20" t="inlineStr">
        <is>
          <t>shape_value3</t>
        </is>
      </c>
      <c r="H102" s="20" t="inlineStr">
        <is>
          <t>shape_value4</t>
        </is>
      </c>
    </row>
    <row r="103" ht="13.5" customHeight="1">
      <c r="B103" s="28" t="inlineStr">
        <is>
          <t>SwapExecuteRangeId</t>
        </is>
      </c>
      <c r="C103" s="20" t="inlineStr">
        <is>
          <t>ExecuteRange의 키값을 교체 (id 교체와 동시 적용 불가, Projectile↔다른 타입 간의 교체 불가)</t>
        </is>
      </c>
      <c r="D103" s="20" t="inlineStr">
        <is>
          <t>ExecuteRange</t>
        </is>
      </c>
      <c r="E103" s="20" t="inlineStr">
        <is>
          <t>교체할 ExecuteRange id</t>
        </is>
      </c>
      <c r="F103" s="20" t="inlineStr">
        <is>
          <t>미사용 (-1)</t>
        </is>
      </c>
      <c r="G103" s="20" t="inlineStr">
        <is>
          <t>미사용 (-1)</t>
        </is>
      </c>
      <c r="H103" s="20" t="inlineStr">
        <is>
          <t>미사용 (-1)</t>
        </is>
      </c>
    </row>
    <row r="104" ht="13.5" customHeight="1">
      <c r="B104" s="28" t="inlineStr">
        <is>
          <t>SwapExecuteEffectValue</t>
        </is>
      </c>
      <c r="C104" s="20" t="inlineStr">
        <is>
          <t>ExecuteEffect의 value 값을 교체</t>
        </is>
      </c>
      <c r="D104" s="20" t="inlineStr">
        <is>
          <t>ExecuteEffect</t>
        </is>
      </c>
      <c r="E104" s="20" t="inlineStr">
        <is>
          <t>교체할 value1 값</t>
        </is>
      </c>
      <c r="F104" s="20" t="inlineStr">
        <is>
          <t>교체할 value2 값</t>
        </is>
      </c>
      <c r="G104" s="20" t="inlineStr">
        <is>
          <t>교체할 value3 값</t>
        </is>
      </c>
      <c r="H104" s="20" t="inlineStr">
        <is>
          <t>rate 증감 값</t>
        </is>
      </c>
    </row>
    <row r="105" ht="13.5" customHeight="1">
      <c r="B105" s="28" t="inlineStr">
        <is>
          <t>SwapExecuteResultDisplayId</t>
        </is>
      </c>
      <c r="C105" s="20" t="inlineStr">
        <is>
          <t>ExecuteResultDisplayId의 키값을 교체</t>
        </is>
      </c>
      <c r="D105" s="20" t="inlineStr">
        <is>
          <t>ExecuteResultDisplay</t>
        </is>
      </c>
      <c r="E105" s="20" t="inlineStr">
        <is>
          <t>교체할 ExecuteResultDisplay id</t>
        </is>
      </c>
      <c r="F105" s="20" t="inlineStr">
        <is>
          <t>미사용 (-1)</t>
        </is>
      </c>
      <c r="G105" s="20" t="inlineStr">
        <is>
          <t>미사용 (-1)</t>
        </is>
      </c>
      <c r="H105" s="20" t="inlineStr">
        <is>
          <t>미사용 (-1)</t>
        </is>
      </c>
    </row>
    <row r="106" ht="13.5" customHeight="1">
      <c r="B106" s="28" t="inlineStr">
        <is>
          <t>SwapStatusEffectValue</t>
        </is>
      </c>
      <c r="C106" s="20" t="inlineStr">
        <is>
          <t>StatusEffect의 Function 키값을 교체</t>
        </is>
      </c>
      <c r="D106" s="20" t="inlineStr">
        <is>
          <t>StatusEffect</t>
        </is>
      </c>
      <c r="E106" s="20" t="inlineStr">
        <is>
          <t>교체할 StatusEffectFunction id1</t>
        </is>
      </c>
      <c r="F106" s="20" t="inlineStr">
        <is>
          <t>교체할 StatusEffectFunction id2</t>
        </is>
      </c>
      <c r="G106" s="20" t="inlineStr">
        <is>
          <t>미사용 (-1)</t>
        </is>
      </c>
      <c r="H106" s="20" t="inlineStr">
        <is>
          <t>미사용 (-1)</t>
        </is>
      </c>
    </row>
    <row r="107" ht="13.5" customHeight="1">
      <c r="B107" s="28" t="inlineStr">
        <is>
          <t>ModExecuteEffectValue</t>
        </is>
      </c>
      <c r="C107" s="21" t="inlineStr">
        <is>
          <t>ExecuteEffect의 value 값을 증감 (현재 Damage만 작동)</t>
        </is>
      </c>
      <c r="D107" s="20" t="inlineStr">
        <is>
          <t>ExecuteEffect</t>
        </is>
      </c>
      <c r="E107" s="20" t="inlineStr">
        <is>
          <t>value1 증감 값</t>
        </is>
      </c>
      <c r="F107" s="20" t="inlineStr">
        <is>
          <t>value2 증감 값</t>
        </is>
      </c>
      <c r="G107" s="20" t="inlineStr">
        <is>
          <t>value3 증감 값</t>
        </is>
      </c>
      <c r="H107" s="20" t="inlineStr">
        <is>
          <t>rate 증감 값</t>
        </is>
      </c>
    </row>
    <row r="108" ht="13.5" customHeight="1">
      <c r="B108" s="28" t="inlineStr">
        <is>
          <t>ModExecuteRangeValue</t>
        </is>
      </c>
      <c r="C108" s="20" t="inlineStr">
        <is>
          <t>ExecuteRange의 shape_value 값을 증감</t>
        </is>
      </c>
      <c r="D108" s="20" t="inlineStr">
        <is>
          <t>ExecuteRange</t>
        </is>
      </c>
      <c r="E108" s="20" t="inlineStr">
        <is>
          <t>shape_value1 증감 값</t>
        </is>
      </c>
      <c r="F108" s="20" t="inlineStr">
        <is>
          <t>shape_value2 증감 값</t>
        </is>
      </c>
      <c r="G108" s="20" t="inlineStr">
        <is>
          <t>shape_value3 증감 값</t>
        </is>
      </c>
      <c r="H108" s="20" t="inlineStr">
        <is>
          <t>shape_value4 증감 값</t>
        </is>
      </c>
    </row>
    <row r="109" ht="13.5" customHeight="1">
      <c r="B109" s="28" t="inlineStr">
        <is>
          <t>ModStatusEffectFunctionValue</t>
        </is>
      </c>
      <c r="C109" s="20" t="inlineStr">
        <is>
          <t>StatusEffectFunction의 value 값을 증감</t>
        </is>
      </c>
      <c r="D109" s="20" t="inlineStr">
        <is>
          <t>StatusEffectFunction</t>
        </is>
      </c>
      <c r="E109" s="20" t="inlineStr">
        <is>
          <t>value1 증감 값</t>
        </is>
      </c>
      <c r="F109" s="20" t="inlineStr">
        <is>
          <t>value2 증감 값</t>
        </is>
      </c>
      <c r="G109" s="20" t="inlineStr">
        <is>
          <t>미사용 (-1)</t>
        </is>
      </c>
      <c r="H109" s="20" t="inlineStr">
        <is>
          <t>미사용 (-1)</t>
        </is>
      </c>
    </row>
    <row r="110" ht="13.5" customHeight="1">
      <c r="B110" s="19" t="inlineStr">
        <is>
          <t>GetGold</t>
        </is>
      </c>
      <c r="C110" s="22" t="inlineStr">
        <is>
          <t>골드 획득 - 미구현</t>
        </is>
      </c>
      <c r="D110" s="20" t="inlineStr">
        <is>
          <t>미사용 (-1)</t>
        </is>
      </c>
      <c r="E110" s="20" t="inlineStr">
        <is>
          <t>획득할 골드량 최솟값</t>
        </is>
      </c>
      <c r="F110" s="20" t="inlineStr">
        <is>
          <t>획득할 골드량 최댓값</t>
        </is>
      </c>
      <c r="G110" s="20" t="inlineStr">
        <is>
          <t>미사용 (-1)</t>
        </is>
      </c>
      <c r="H110" s="20" t="inlineStr">
        <is>
          <t>미사용 (-1)</t>
        </is>
      </c>
    </row>
    <row r="111" ht="13.5" customHeight="1">
      <c r="B111" s="19" t="inlineStr">
        <is>
          <t>ModRateScoutCost</t>
        </is>
      </c>
      <c r="C111" s="21" t="inlineStr">
        <is>
          <t>보유자의 용병 고용 비용 증감(%)</t>
        </is>
      </c>
      <c r="D111" s="20" t="inlineStr">
        <is>
          <t>미사용 (-1)</t>
        </is>
      </c>
      <c r="E111" s="20" t="inlineStr">
        <is>
          <t>증감율</t>
        </is>
      </c>
      <c r="F111" s="20" t="inlineStr">
        <is>
          <t>미사용 (-1)</t>
        </is>
      </c>
      <c r="G111" s="20" t="inlineStr">
        <is>
          <t>미사용 (-1)</t>
        </is>
      </c>
      <c r="H111" s="20" t="inlineStr">
        <is>
          <t>미사용 (-1)</t>
        </is>
      </c>
    </row>
    <row r="112" ht="13.5" customHeight="1">
      <c r="B112" s="19" t="inlineStr">
        <is>
          <t>ModRateExp</t>
        </is>
      </c>
      <c r="C112" s="21" t="inlineStr">
        <is>
          <t>보유자의 경험치 증감(%)</t>
        </is>
      </c>
      <c r="D112" s="20" t="inlineStr">
        <is>
          <t>미사용 (-1)</t>
        </is>
      </c>
      <c r="E112" s="20" t="inlineStr">
        <is>
          <t>증감율</t>
        </is>
      </c>
      <c r="F112" s="20" t="inlineStr">
        <is>
          <t>미사용 (-1)</t>
        </is>
      </c>
      <c r="G112" s="20" t="inlineStr">
        <is>
          <t>미사용 (-1)</t>
        </is>
      </c>
      <c r="H112" s="20" t="inlineStr">
        <is>
          <t>미사용 (-1)</t>
        </is>
      </c>
    </row>
    <row r="113" ht="13.5" customHeight="1">
      <c r="B113" s="28" t="inlineStr">
        <is>
          <t>ModSkillStackMax</t>
        </is>
      </c>
      <c r="C113" s="21" t="inlineStr">
        <is>
          <t>특정 스킬의 최대 스택량을 변경</t>
        </is>
      </c>
      <c r="D113" s="20" t="inlineStr">
        <is>
          <t>Skill</t>
        </is>
      </c>
      <c r="E113" s="20" t="inlineStr">
        <is>
          <t>최대 스택수 증감 값</t>
        </is>
      </c>
      <c r="F113" s="20" t="inlineStr">
        <is>
          <t>미사용 (-1)</t>
        </is>
      </c>
      <c r="G113" s="20" t="inlineStr">
        <is>
          <t>미사용 (-1)</t>
        </is>
      </c>
      <c r="H113" s="20" t="inlineStr">
        <is>
          <t>미사용 (-1)</t>
        </is>
      </c>
    </row>
    <row r="114" ht="13.5" customHeight="1">
      <c r="B114" s="28" t="inlineStr">
        <is>
          <t>SwapExecuteEffectPartHitId</t>
        </is>
      </c>
      <c r="C114" s="21" t="inlineStr">
        <is>
          <t>특정 ExecuteEffect의 부위 타격 ID를 교체 (발사체와 히트스캔으로 타격했을 때만 가능)</t>
        </is>
      </c>
      <c r="D114" s="20" t="inlineStr">
        <is>
          <t>ExecuteEffect</t>
        </is>
      </c>
      <c r="E114" s="20" t="inlineStr">
        <is>
          <t>교체할 PartHit id</t>
        </is>
      </c>
      <c r="F114" s="20" t="inlineStr">
        <is>
          <t>미사용 (-1)</t>
        </is>
      </c>
      <c r="G114" s="20" t="inlineStr">
        <is>
          <t>미사용 (-1)</t>
        </is>
      </c>
      <c r="H114" s="20" t="inlineStr">
        <is>
          <t>미사용 (-1)</t>
        </is>
      </c>
    </row>
    <row r="115" ht="13.5" customHeight="1">
      <c r="B115" s="19" t="inlineStr">
        <is>
          <t>ModRateSpreadRange</t>
        </is>
      </c>
      <c r="C115" s="21" t="inlineStr">
        <is>
          <t>보유자의 탄착군의 범위 증감(%)</t>
        </is>
      </c>
      <c r="D115" s="20" t="inlineStr">
        <is>
          <t>미사용 (-1)</t>
        </is>
      </c>
      <c r="E115" s="20" t="inlineStr">
        <is>
          <t>증감율</t>
        </is>
      </c>
      <c r="F115" s="20" t="inlineStr">
        <is>
          <t>미사용 (-1)</t>
        </is>
      </c>
      <c r="G115" s="20" t="inlineStr">
        <is>
          <t>미사용 (-1)</t>
        </is>
      </c>
      <c r="H115" s="20" t="inlineStr">
        <is>
          <t>미사용 (-1)</t>
        </is>
      </c>
    </row>
    <row r="116" ht="13.5" customHeight="1">
      <c r="B116" s="28" t="inlineStr">
        <is>
          <t>ModPostureTriggerCount</t>
        </is>
      </c>
      <c r="C116" s="21" t="inlineStr">
        <is>
          <t>특정 Posture의 해제 트리거 스킬 사용 횟수를 증감</t>
        </is>
      </c>
      <c r="D116" s="20" t="inlineStr">
        <is>
          <t>Posture ID</t>
        </is>
      </c>
      <c r="E116" s="20" t="inlineStr">
        <is>
          <t>증감 값</t>
        </is>
      </c>
      <c r="F116" s="20" t="inlineStr">
        <is>
          <t>미사용 (-1)</t>
        </is>
      </c>
      <c r="G116" s="20" t="inlineStr">
        <is>
          <t>미사용 (-1)</t>
        </is>
      </c>
      <c r="H116" s="20" t="inlineStr">
        <is>
          <t>미사용 (-1)</t>
        </is>
      </c>
    </row>
    <row r="117" ht="13.5" customHeight="1">
      <c r="B117" s="28" t="inlineStr">
        <is>
          <t>ModCooldownHaste</t>
        </is>
      </c>
      <c r="C117" s="21" t="inlineStr">
        <is>
          <t>보유자의 쿨다운 가속 증감</t>
        </is>
      </c>
      <c r="D117" s="20" t="inlineStr">
        <is>
          <t>미사용 (-1)</t>
        </is>
      </c>
      <c r="E117" s="20" t="inlineStr">
        <is>
          <t>증감 값</t>
        </is>
      </c>
      <c r="F117" s="20" t="inlineStr">
        <is>
          <t>미사용 (-1)</t>
        </is>
      </c>
      <c r="G117" s="20" t="inlineStr">
        <is>
          <t>미사용 (-1)</t>
        </is>
      </c>
      <c r="H117" s="20" t="inlineStr">
        <is>
          <t>미사용 (-1)</t>
        </is>
      </c>
    </row>
    <row r="118" ht="13.5" customHeight="1">
      <c r="B118" s="28" t="inlineStr">
        <is>
          <t>SwapCasterResultExecuteEffect</t>
        </is>
      </c>
      <c r="C118" s="21" t="inlineStr">
        <is>
          <t>CasterResultExecuteEffect 키값을 교체</t>
        </is>
      </c>
      <c r="D118" s="20" t="inlineStr">
        <is>
          <t>Execute ID</t>
        </is>
      </c>
      <c r="E118" s="20" t="inlineStr">
        <is>
          <t>교체할 ExecuteEffect id</t>
        </is>
      </c>
      <c r="F118" s="20" t="inlineStr">
        <is>
          <t>미사용 (-1)</t>
        </is>
      </c>
      <c r="G118" s="20" t="inlineStr">
        <is>
          <t>미사용 (-1)</t>
        </is>
      </c>
      <c r="H118" s="20" t="inlineStr">
        <is>
          <t>미사용 (-1)</t>
        </is>
      </c>
    </row>
    <row r="119" ht="13.5" customHeight="1">
      <c r="B119" s="28" t="inlineStr">
        <is>
          <t>ModStatusEffectStack</t>
        </is>
      </c>
      <c r="C119" s="21" t="inlineStr">
        <is>
          <t>상태 효과의 stack_up_count 교체</t>
        </is>
      </c>
      <c r="D119" s="20" t="inlineStr">
        <is>
          <t>StatusEffect ID</t>
        </is>
      </c>
      <c r="E119" s="20" t="inlineStr">
        <is>
          <t>증감 값</t>
        </is>
      </c>
      <c r="F119" s="20" t="inlineStr">
        <is>
          <t>미사용 (-1)</t>
        </is>
      </c>
      <c r="G119" s="20" t="inlineStr">
        <is>
          <t>미사용 (-1)</t>
        </is>
      </c>
      <c r="H119" s="20" t="inlineStr">
        <is>
          <t>미사용 (-1)</t>
        </is>
      </c>
    </row>
    <row r="120" ht="13.5" customHeight="1">
      <c r="B120" s="28" t="inlineStr">
        <is>
          <t>StatusEffectAura</t>
        </is>
      </c>
      <c r="C120" s="21" t="inlineStr">
        <is>
          <t>정해진 범위 내에 StatusEffect 적용, 거리 벗어나면 해제</t>
        </is>
      </c>
      <c r="D120" s="20" t="inlineStr">
        <is>
          <t>ExecuteRange id</t>
        </is>
      </c>
      <c r="E120" s="20" t="inlineStr">
        <is>
          <t>StatusEffect id1</t>
        </is>
      </c>
      <c r="F120" s="20" t="inlineStr">
        <is>
          <t>StatusEffect id2</t>
        </is>
      </c>
      <c r="G120" s="20" t="inlineStr">
        <is>
          <t>StatusEffect id3</t>
        </is>
      </c>
      <c r="H120" s="20" t="inlineStr">
        <is>
          <t>StatusEffect id4</t>
        </is>
      </c>
    </row>
    <row r="121" ht="13.5" customHeight="1">
      <c r="B121" s="28" t="inlineStr">
        <is>
          <t>SwapNextLinkID</t>
        </is>
      </c>
      <c r="C121" s="21" t="inlineStr">
        <is>
          <t>Skill의 NextLink 키값을 교체</t>
        </is>
      </c>
      <c r="D121" s="20" t="inlineStr">
        <is>
          <t>Skill ID</t>
        </is>
      </c>
      <c r="E121" s="20" t="inlineStr">
        <is>
          <t>바꿀 NextLinkID</t>
        </is>
      </c>
      <c r="F121" s="20" t="inlineStr">
        <is>
          <t>미사용 (-1)</t>
        </is>
      </c>
      <c r="G121" s="20" t="inlineStr">
        <is>
          <t>미사용 (-1)</t>
        </is>
      </c>
      <c r="H121" s="20" t="inlineStr">
        <is>
          <t>미사용 (-1)</t>
        </is>
      </c>
    </row>
    <row r="122" ht="13.5" customHeight="1">
      <c r="B122" s="28" t="inlineStr">
        <is>
          <t>ModSkillMaxDuration</t>
        </is>
      </c>
      <c r="C122" s="21" t="inlineStr">
        <is>
          <t>Skill의 MaxDuration 값을 증감</t>
        </is>
      </c>
      <c r="D122" s="20" t="inlineStr">
        <is>
          <t>Skill ID</t>
        </is>
      </c>
      <c r="E122" s="20" t="inlineStr">
        <is>
          <t>증감 값</t>
        </is>
      </c>
      <c r="F122" s="20" t="inlineStr">
        <is>
          <t>미사용 (-1)</t>
        </is>
      </c>
      <c r="G122" s="20" t="inlineStr">
        <is>
          <t>미사용 (-1)</t>
        </is>
      </c>
      <c r="H122" s="20" t="inlineStr">
        <is>
          <t>미사용 (-1)</t>
        </is>
      </c>
    </row>
    <row r="123" ht="13.5" customHeight="1">
      <c r="B123" s="28" t="inlineStr">
        <is>
          <t>SwapChargeLinkID</t>
        </is>
      </c>
      <c r="C123" s="21" t="inlineStr">
        <is>
          <t>SKill의 ChargeLink 키값을 교체</t>
        </is>
      </c>
      <c r="D123" s="20" t="inlineStr">
        <is>
          <t>Skill ID</t>
        </is>
      </c>
      <c r="E123" s="20" t="inlineStr">
        <is>
          <t>바꿀 ChargeLinkID</t>
        </is>
      </c>
      <c r="F123" s="20" t="inlineStr">
        <is>
          <t>미사용 (-1)</t>
        </is>
      </c>
      <c r="G123" s="20" t="inlineStr">
        <is>
          <t>미사용 (-1)</t>
        </is>
      </c>
      <c r="H123" s="20" t="inlineStr">
        <is>
          <t>미사용 (-1)</t>
        </is>
      </c>
    </row>
    <row r="124">
      <c r="B124" s="28" t="inlineStr">
        <is>
          <t>ModRateNormalAttackSpeed</t>
        </is>
      </c>
      <c r="C124" s="21" t="inlineStr">
        <is>
          <t>보유자의 기본 공격 속도 증감 (%)</t>
        </is>
      </c>
      <c r="D124" s="20" t="inlineStr">
        <is>
          <t>미사용 (-1)</t>
        </is>
      </c>
      <c r="E124" s="20" t="inlineStr">
        <is>
          <t>증감율</t>
        </is>
      </c>
      <c r="F124" s="20" t="inlineStr">
        <is>
          <t>미사용 (-1)</t>
        </is>
      </c>
      <c r="G124" s="20" t="inlineStr">
        <is>
          <t>미사용 (-1)</t>
        </is>
      </c>
      <c r="H124" s="20" t="inlineStr">
        <is>
          <t>미사용 (-1)</t>
        </is>
      </c>
    </row>
    <row r="125">
      <c r="B125" s="28" t="inlineStr">
        <is>
          <t>ModRateSkillSpeed</t>
        </is>
      </c>
      <c r="C125" s="21" t="inlineStr">
        <is>
          <t>보유자의 스킬 속도 증감 (%)</t>
        </is>
      </c>
      <c r="D125" s="20" t="inlineStr">
        <is>
          <t>미사용 (-1)</t>
        </is>
      </c>
      <c r="E125" s="20" t="inlineStr">
        <is>
          <t>증감율</t>
        </is>
      </c>
      <c r="F125" s="20" t="inlineStr">
        <is>
          <t>미사용 (-1)</t>
        </is>
      </c>
      <c r="G125" s="20" t="inlineStr">
        <is>
          <t>미사용 (-1)</t>
        </is>
      </c>
      <c r="H125" s="20" t="inlineStr">
        <is>
          <t>미사용 (-1)</t>
        </is>
      </c>
    </row>
    <row r="126">
      <c r="B126" s="19" t="inlineStr">
        <is>
          <t>ModRateNormalAttackDamage</t>
        </is>
      </c>
      <c r="C126" s="21" t="inlineStr">
        <is>
          <t>보유자의 기본 공격 피해량 증감 (%)</t>
        </is>
      </c>
      <c r="D126" s="20" t="inlineStr">
        <is>
          <t>미사용 (-1)</t>
        </is>
      </c>
      <c r="E126" s="20" t="inlineStr">
        <is>
          <t>증감율</t>
        </is>
      </c>
      <c r="F126" s="20" t="inlineStr">
        <is>
          <t>미사용 (-1)</t>
        </is>
      </c>
      <c r="G126" s="20" t="inlineStr">
        <is>
          <t>미사용 (-1)</t>
        </is>
      </c>
      <c r="H126" s="20" t="inlineStr">
        <is>
          <t>미사용 (-1)</t>
        </is>
      </c>
    </row>
    <row r="127">
      <c r="B127" s="28" t="inlineStr">
        <is>
          <t>ModRateSkillDamage</t>
        </is>
      </c>
      <c r="C127" s="21" t="inlineStr">
        <is>
          <t>보유자의 스킬 피해량 증감 (%)</t>
        </is>
      </c>
      <c r="D127" s="20" t="inlineStr">
        <is>
          <t>미사용 (-1)</t>
        </is>
      </c>
      <c r="E127" s="20" t="inlineStr">
        <is>
          <t>증감율</t>
        </is>
      </c>
      <c r="F127" s="20" t="inlineStr">
        <is>
          <t>미사용 (-1)</t>
        </is>
      </c>
      <c r="G127" s="20" t="inlineStr">
        <is>
          <t>미사용 (-1)</t>
        </is>
      </c>
      <c r="H127" s="20" t="inlineStr">
        <is>
          <t>미사용 (-1)</t>
        </is>
      </c>
    </row>
    <row r="128">
      <c r="B128" s="28" t="inlineStr">
        <is>
          <t>ModRateIncreaseShield</t>
        </is>
      </c>
      <c r="C128" s="21" t="inlineStr">
        <is>
          <t>보유자의 주는 보호막량 증감 (%)</t>
        </is>
      </c>
      <c r="D128" s="20" t="inlineStr">
        <is>
          <t>미사용 (-1)</t>
        </is>
      </c>
      <c r="E128" s="20" t="inlineStr">
        <is>
          <t>증감율</t>
        </is>
      </c>
      <c r="F128" s="20" t="inlineStr">
        <is>
          <t>미사용 (-1)</t>
        </is>
      </c>
      <c r="G128" s="20" t="inlineStr">
        <is>
          <t>미사용 (-1)</t>
        </is>
      </c>
      <c r="H128" s="20" t="inlineStr">
        <is>
          <t>미사용 (-1)</t>
        </is>
      </c>
    </row>
    <row r="129">
      <c r="B129" s="28" t="inlineStr">
        <is>
          <t>ModRateShieldFromSpell</t>
        </is>
      </c>
      <c r="C129" s="21" t="inlineStr">
        <is>
          <t>보유자의 받는 보호막량 증감 (%)</t>
        </is>
      </c>
      <c r="D129" s="20" t="inlineStr">
        <is>
          <t>미사용 (-1)</t>
        </is>
      </c>
      <c r="E129" s="20" t="inlineStr">
        <is>
          <t>증감율</t>
        </is>
      </c>
      <c r="F129" s="20" t="inlineStr">
        <is>
          <t>미사용 (-1)</t>
        </is>
      </c>
      <c r="G129" s="20" t="inlineStr">
        <is>
          <t>미사용 (-1)</t>
        </is>
      </c>
      <c r="H129" s="20" t="inlineStr">
        <is>
          <t>미사용 (-1)</t>
        </is>
      </c>
    </row>
    <row r="130">
      <c r="B130" s="19" t="inlineStr">
        <is>
          <t>ModRateArmorPenetration</t>
        </is>
      </c>
      <c r="C130" s="21" t="inlineStr">
        <is>
          <t>보유자의 방어 관통 증감 (%)</t>
        </is>
      </c>
      <c r="D130" s="20" t="inlineStr">
        <is>
          <t>미사용 (-1)</t>
        </is>
      </c>
      <c r="E130" s="20" t="inlineStr">
        <is>
          <t>증감율</t>
        </is>
      </c>
      <c r="F130" s="20" t="inlineStr">
        <is>
          <t>미사용 (-1)</t>
        </is>
      </c>
      <c r="G130" s="20" t="inlineStr">
        <is>
          <t>미사용 (-1)</t>
        </is>
      </c>
      <c r="H130" s="20" t="inlineStr">
        <is>
          <t>미사용 (-1)</t>
        </is>
      </c>
    </row>
    <row r="131">
      <c r="B131" s="19" t="inlineStr">
        <is>
          <t>ModRateMagicDamage</t>
        </is>
      </c>
      <c r="C131" s="21" t="inlineStr">
        <is>
          <t>보유자의 마법 대미지 증감(%)</t>
        </is>
      </c>
      <c r="D131" s="20" t="inlineStr">
        <is>
          <t>미사용 (-1)</t>
        </is>
      </c>
      <c r="E131" s="20" t="inlineStr">
        <is>
          <t>증감율</t>
        </is>
      </c>
      <c r="F131" s="20" t="inlineStr">
        <is>
          <t>미사용 (-1)</t>
        </is>
      </c>
      <c r="G131" s="20" t="inlineStr">
        <is>
          <t>미사용 (-1)</t>
        </is>
      </c>
      <c r="H131" s="20" t="inlineStr">
        <is>
          <t>미사용 (-1)</t>
        </is>
      </c>
    </row>
    <row r="132">
      <c r="B132" s="28" t="inlineStr">
        <is>
          <t>ModRateIncreaseEnergyGain</t>
        </is>
      </c>
      <c r="C132" s="21" t="inlineStr">
        <is>
          <t>보유자의 에너지 충전 효율 증감(%)</t>
        </is>
      </c>
      <c r="D132" s="20" t="inlineStr">
        <is>
          <t>미사용 (-1)</t>
        </is>
      </c>
      <c r="E132" s="20" t="inlineStr">
        <is>
          <t>증감율</t>
        </is>
      </c>
      <c r="F132" s="20" t="inlineStr">
        <is>
          <t>미사용 (-1)</t>
        </is>
      </c>
      <c r="G132" s="20" t="inlineStr">
        <is>
          <t>미사용 (-1)</t>
        </is>
      </c>
      <c r="H132" s="20" t="inlineStr">
        <is>
          <t>미사용 (-1)</t>
        </is>
      </c>
    </row>
    <row r="133">
      <c r="B133" s="28" t="inlineStr">
        <is>
          <t>ModExecuteRangeDivideCount</t>
        </is>
      </c>
      <c r="C133" s="21" t="inlineStr">
        <is>
          <t>SkillExecuteRange의 DivideCount 증감</t>
        </is>
      </c>
      <c r="D133" s="20" t="inlineStr">
        <is>
          <t>ExecuteRange</t>
        </is>
      </c>
      <c r="E133" s="20" t="inlineStr">
        <is>
          <t>divide_count 증감 값</t>
        </is>
      </c>
      <c r="F133" s="20" t="inlineStr">
        <is>
          <t>미사용 (-1)</t>
        </is>
      </c>
      <c r="G133" s="20" t="inlineStr">
        <is>
          <t>미사용 (-1)</t>
        </is>
      </c>
      <c r="H133" s="20" t="inlineStr">
        <is>
          <t>미사용 (-1)</t>
        </is>
      </c>
    </row>
    <row r="134">
      <c r="B134" s="28" t="inlineStr">
        <is>
          <t>ModExecuteRangeRepeatDuration</t>
        </is>
      </c>
      <c r="C134" s="21" t="inlineStr">
        <is>
          <t>SkillExecuteRange의 RepeatDuration 증감</t>
        </is>
      </c>
      <c r="D134" s="20" t="inlineStr">
        <is>
          <t>ExecuteRange</t>
        </is>
      </c>
      <c r="E134" s="20" t="inlineStr">
        <is>
          <t>repeat_duration 증감 값</t>
        </is>
      </c>
      <c r="F134" s="20" t="inlineStr">
        <is>
          <t>미사용 (-1)</t>
        </is>
      </c>
      <c r="G134" s="20" t="inlineStr">
        <is>
          <t>미사용 (-1)</t>
        </is>
      </c>
      <c r="H134" s="20" t="inlineStr">
        <is>
          <t>미사용 (-1)</t>
        </is>
      </c>
    </row>
    <row r="135">
      <c r="A135" s="23" t="inlineStr">
        <is>
          <t>(new)</t>
        </is>
      </c>
      <c r="B135" s="34" t="inlineStr">
        <is>
          <t>RunExcuteConditionSource</t>
        </is>
      </c>
      <c r="C135" s="21" t="inlineStr">
        <is>
          <t>source로 넘겨받은 적에게 Excute실행. 단, ExcuteRange는 고려안함</t>
        </is>
      </c>
      <c r="D135" s="20" t="inlineStr">
        <is>
          <t>Execute ID</t>
        </is>
      </c>
      <c r="E135" s="20" t="inlineStr">
        <is>
          <t>미사용 (-1)</t>
        </is>
      </c>
      <c r="F135" s="20" t="inlineStr">
        <is>
          <t>미사용 (-1)</t>
        </is>
      </c>
      <c r="G135" s="20" t="inlineStr">
        <is>
          <t>미사용 (-1)</t>
        </is>
      </c>
      <c r="H135" s="20" t="inlineStr">
        <is>
          <t>미사용 (-1)</t>
        </is>
      </c>
    </row>
    <row r="136">
      <c r="A136" s="23" t="inlineStr">
        <is>
          <t>(new)</t>
        </is>
      </c>
      <c r="B136" s="34" t="inlineStr">
        <is>
          <t>ModRateMaxHealth</t>
        </is>
      </c>
      <c r="C136" s="15" t="inlineStr">
        <is>
          <t>최대 체력 증감(%)</t>
        </is>
      </c>
      <c r="D136" s="15" t="inlineStr">
        <is>
          <t>미사용 (-1)</t>
        </is>
      </c>
      <c r="E136" s="15" t="inlineStr">
        <is>
          <t>증감율</t>
        </is>
      </c>
      <c r="F136" s="15" t="inlineStr">
        <is>
          <t>미사용 (-1)</t>
        </is>
      </c>
      <c r="G136" s="15" t="inlineStr">
        <is>
          <t>미사용 (-1)</t>
        </is>
      </c>
      <c r="H136" s="15" t="inlineStr">
        <is>
          <t>미사용 (-1)</t>
        </is>
      </c>
    </row>
    <row r="137">
      <c r="A137" s="23" t="inlineStr">
        <is>
          <t>(new)</t>
        </is>
      </c>
      <c r="B137" s="34" t="inlineStr">
        <is>
          <t>ModRateMoa</t>
        </is>
      </c>
      <c r="C137" s="15" t="inlineStr">
        <is>
          <t>탄퍼짐(MOA) 증감(%) [MoaBase, MoaMax]</t>
        </is>
      </c>
      <c r="D137" s="15" t="inlineStr">
        <is>
          <t>미사용 (-1)</t>
        </is>
      </c>
      <c r="E137" s="33" t="inlineStr">
        <is>
          <t>0:둘다, 1:base만, 2:Max만</t>
        </is>
      </c>
      <c r="F137" s="15" t="inlineStr">
        <is>
          <t>증감율</t>
        </is>
      </c>
      <c r="G137" s="15" t="inlineStr">
        <is>
          <t>미사용 (-1)</t>
        </is>
      </c>
      <c r="H137" s="15" t="inlineStr">
        <is>
          <t>미사용 (-1)</t>
        </is>
      </c>
    </row>
    <row r="138">
      <c r="A138" s="23" t="inlineStr">
        <is>
          <t>(new)</t>
        </is>
      </c>
      <c r="B138" s="34" t="inlineStr">
        <is>
          <t>ModRateReloadTime</t>
        </is>
      </c>
      <c r="C138" s="15" t="inlineStr">
        <is>
          <t>재장전 속도 증감(%) [NoAnimReloadTime]</t>
        </is>
      </c>
      <c r="D138" s="15" t="inlineStr">
        <is>
          <t>미사용 (-1)</t>
        </is>
      </c>
      <c r="E138" s="15" t="inlineStr">
        <is>
          <t>증감율</t>
        </is>
      </c>
      <c r="F138" s="15" t="inlineStr">
        <is>
          <t>미사용 (-1)</t>
        </is>
      </c>
      <c r="G138" s="15" t="inlineStr">
        <is>
          <t>미사용 (-1)</t>
        </is>
      </c>
      <c r="H138" s="15" t="inlineStr">
        <is>
          <t>미사용 (-1)</t>
        </is>
      </c>
    </row>
    <row r="139">
      <c r="A139" s="23" t="inlineStr">
        <is>
          <t>(new)</t>
        </is>
      </c>
      <c r="B139" s="34" t="inlineStr">
        <is>
          <t>ModRateSkillAttack</t>
        </is>
      </c>
      <c r="C139" s="15" t="inlineStr">
        <is>
          <t>스킬 공격력 증감(%)</t>
        </is>
      </c>
      <c r="D139" s="15" t="inlineStr">
        <is>
          <t>미사용 (-1)</t>
        </is>
      </c>
      <c r="E139" s="15" t="inlineStr">
        <is>
          <t>증감율</t>
        </is>
      </c>
      <c r="F139" s="15" t="inlineStr">
        <is>
          <t>미사용 (-1)</t>
        </is>
      </c>
      <c r="G139" s="15" t="inlineStr">
        <is>
          <t>미사용 (-1)</t>
        </is>
      </c>
      <c r="H139" s="15" t="inlineStr">
        <is>
          <t>미사용 (-1)</t>
        </is>
      </c>
    </row>
    <row r="140">
      <c r="A140" s="23" t="inlineStr">
        <is>
          <t>(new)</t>
        </is>
      </c>
      <c r="B140" s="34" t="inlineStr">
        <is>
          <t>ModRateSkillSpeed</t>
        </is>
      </c>
      <c r="C140" s="15" t="inlineStr">
        <is>
          <t>스킬 속도 증감(%)</t>
        </is>
      </c>
      <c r="D140" s="15" t="inlineStr">
        <is>
          <t>미사용 (-1)</t>
        </is>
      </c>
      <c r="E140" s="15" t="inlineStr">
        <is>
          <t>증감율</t>
        </is>
      </c>
      <c r="F140" s="15" t="inlineStr">
        <is>
          <t>미사용 (-1)</t>
        </is>
      </c>
      <c r="G140" s="15" t="inlineStr">
        <is>
          <t>미사용 (-1)</t>
        </is>
      </c>
      <c r="H140" s="15" t="inlineStr">
        <is>
          <t>미사용 (-1)</t>
        </is>
      </c>
    </row>
    <row r="141">
      <c r="A141" s="23" t="n"/>
      <c r="B141" s="32" t="inlineStr">
        <is>
          <t>ModRateFireRate</t>
        </is>
      </c>
      <c r="C141" s="32" t="inlineStr">
        <is>
          <t>사격 속도 증감(%)</t>
        </is>
      </c>
      <c r="D141" s="32" t="inlineStr">
        <is>
          <t>미사용 (-1)</t>
        </is>
      </c>
      <c r="E141" s="32" t="inlineStr">
        <is>
          <t>증감율</t>
        </is>
      </c>
      <c r="F141" s="32" t="inlineStr">
        <is>
          <t>미사용 (-1)</t>
        </is>
      </c>
      <c r="G141" s="15" t="inlineStr">
        <is>
          <t>미사용 (-1)</t>
        </is>
      </c>
      <c r="H141" s="15" t="inlineStr">
        <is>
          <t>미사용 (-1)</t>
        </is>
      </c>
    </row>
    <row r="142">
      <c r="A142" s="23" t="n"/>
      <c r="B142" s="32" t="inlineStr">
        <is>
          <t>ModRateDamageHeadModifier</t>
        </is>
      </c>
      <c r="C142" s="32" t="inlineStr">
        <is>
          <t>해드샷 배율 증감(%)</t>
        </is>
      </c>
      <c r="D142" s="32" t="inlineStr">
        <is>
          <t>미사용 (-1)</t>
        </is>
      </c>
      <c r="E142" s="32" t="inlineStr">
        <is>
          <t>증감율</t>
        </is>
      </c>
      <c r="F142" s="32" t="inlineStr">
        <is>
          <t>미사용 (-1)</t>
        </is>
      </c>
      <c r="G142" s="32" t="inlineStr">
        <is>
          <t>미사용 (-1)</t>
        </is>
      </c>
      <c r="H142" s="32" t="inlineStr">
        <is>
          <t>미사용 (-1)</t>
        </is>
      </c>
    </row>
    <row r="143" ht="40.5" customHeight="1">
      <c r="B143" s="15" t="inlineStr">
        <is>
          <t>GetMark</t>
        </is>
      </c>
      <c r="C143" s="40" t="inlineStr">
        <is>
          <t>패시브 보유자에게 effect_target_id에 해당하는 마크를 
effect_value_1 값에 해당하는 시간(ms) 동안 부여한 후 해제
-1이면 패시브 활성화된 동안 부여, 비활성화 시 해제</t>
        </is>
      </c>
      <c r="D143" s="15" t="inlineStr">
        <is>
          <t>Mark.id</t>
        </is>
      </c>
      <c r="E143" s="15" t="inlineStr">
        <is>
          <t>마크 부여 시간 (ms)</t>
        </is>
      </c>
      <c r="F143" s="15" t="inlineStr">
        <is>
          <t>미사용 (-1)</t>
        </is>
      </c>
      <c r="G143" s="15" t="inlineStr">
        <is>
          <t>미사용 (-1)</t>
        </is>
      </c>
      <c r="H143" s="15" t="inlineStr">
        <is>
          <t>미사용 (-1)</t>
        </is>
      </c>
    </row>
    <row r="144" ht="40.5" customHeight="1">
      <c r="B144" s="15" t="inlineStr">
        <is>
          <t>GetMarkCurrentHitTarget</t>
        </is>
      </c>
      <c r="C144" s="40" t="inlineStr">
        <is>
          <t>마지막으로 공격한 대상에게 effect_target_id에 해당하는 마크를 
effect_value_1 값에 해당하는 시간(ms) 동안 부여한 후 해제
-1이면 패시브 활성화된 동안 부여, 비활성화 시 해제</t>
        </is>
      </c>
      <c r="D144" s="15" t="inlineStr">
        <is>
          <t>Mark.id</t>
        </is>
      </c>
      <c r="E144" s="15" t="inlineStr">
        <is>
          <t>마크 부여 시간 (ms)</t>
        </is>
      </c>
      <c r="F144" s="15" t="inlineStr">
        <is>
          <t>미사용 (-1)</t>
        </is>
      </c>
      <c r="G144" s="15" t="inlineStr">
        <is>
          <t>미사용 (-1)</t>
        </is>
      </c>
      <c r="H144" s="15" t="inlineStr">
        <is>
          <t>미사용 (-1)</t>
        </is>
      </c>
    </row>
    <row r="145" ht="27" customHeight="1">
      <c r="B145" s="15" t="inlineStr">
        <is>
          <t>RemoveMark</t>
        </is>
      </c>
      <c r="C145" s="40" t="inlineStr">
        <is>
          <t>패시브 보유자의 effect_target_id에 해당하는 마크를 즉시 해제
해당 마크를 부여한 원인(스킬 사용 중, 상태 효과 유지 중)이 계속 존재하더라도 해제함</t>
        </is>
      </c>
      <c r="D145" s="15" t="inlineStr">
        <is>
          <t>Mark.id</t>
        </is>
      </c>
      <c r="E145" s="15" t="inlineStr">
        <is>
          <t>미사용 (-1)</t>
        </is>
      </c>
      <c r="F145" s="15" t="inlineStr">
        <is>
          <t>미사용 (-1)</t>
        </is>
      </c>
      <c r="G145" s="15" t="inlineStr">
        <is>
          <t>미사용 (-1)</t>
        </is>
      </c>
      <c r="H145" s="15" t="inlineStr">
        <is>
          <t>미사용 (-1)</t>
        </is>
      </c>
    </row>
    <row r="146" ht="27" customHeight="1">
      <c r="B146" s="15" t="inlineStr">
        <is>
          <t>RemoveMarkCurrentHitTarget</t>
        </is>
      </c>
      <c r="C146" s="40" t="inlineStr">
        <is>
          <t>마지막으로 공격한 대상에게 effect_target_id에 해당하는 마크를 즉시 해제
해당 마크를 부여한 원인(스킬 사용 중, 상태 효과 유지 중)이 계속 존재하더라도 해제함</t>
        </is>
      </c>
      <c r="D146" s="15" t="inlineStr">
        <is>
          <t>Mark.id</t>
        </is>
      </c>
      <c r="E146" s="15" t="inlineStr">
        <is>
          <t>미사용 (-1)</t>
        </is>
      </c>
      <c r="F146" s="15" t="inlineStr">
        <is>
          <t>미사용 (-1)</t>
        </is>
      </c>
      <c r="G146" s="15" t="inlineStr">
        <is>
          <t>미사용 (-1)</t>
        </is>
      </c>
      <c r="H146" s="15" t="inlineStr">
        <is>
          <t>미사용 (-1)</t>
        </is>
      </c>
    </row>
    <row r="147">
      <c r="B147" s="15" t="inlineStr">
        <is>
          <t xml:space="preserve">ModWeaponEffectiveRange </t>
        </is>
      </c>
      <c r="C147" s="40" t="inlineStr">
        <is>
          <t>보유자의 무기 유효 사거리 증감</t>
        </is>
      </c>
      <c r="D147" s="15" t="inlineStr">
        <is>
          <t>Weapon ID (-1이면 전체, 0이면 value1 슬롯 값 사용)</t>
        </is>
      </c>
      <c r="E147" s="15" t="inlineStr">
        <is>
          <t>대상 무기 슬롯(0=메인, 1=서브)</t>
        </is>
      </c>
      <c r="F147" s="15" t="inlineStr">
        <is>
          <t>사거리 증감 값</t>
        </is>
      </c>
      <c r="G147" s="15" t="inlineStr">
        <is>
          <t>미사용 (-1)</t>
        </is>
      </c>
      <c r="H147" s="15" t="inlineStr">
        <is>
          <t>미사용 (-1)</t>
        </is>
      </c>
    </row>
    <row r="153">
      <c r="B153" s="14" t="inlineStr">
        <is>
          <t>임시 데이터 메모</t>
        </is>
      </c>
    </row>
    <row r="154">
      <c r="B154" s="8" t="inlineStr">
        <is>
          <t>값</t>
        </is>
      </c>
      <c r="C154" s="8" t="inlineStr">
        <is>
          <t>들어가 있는 곳</t>
        </is>
      </c>
    </row>
    <row r="155">
      <c r="B155" s="15" t="inlineStr">
        <is>
          <t>AddExecuteEffectByAttackDamage</t>
        </is>
      </c>
      <c r="C155" s="16" t="inlineStr">
        <is>
          <t>거대망치 - 신성한 수호자 스킬</t>
        </is>
      </c>
    </row>
    <row r="156">
      <c r="B156" s="15" t="inlineStr">
        <is>
          <t>ModBattlePlaydata</t>
        </is>
      </c>
      <c r="C156" s="16" t="inlineStr">
        <is>
          <t>테스트용 데이터</t>
        </is>
      </c>
    </row>
    <row r="157">
      <c r="B157" s="15" t="inlineStr">
        <is>
          <t>StopCooltime</t>
        </is>
      </c>
      <c r="C157" s="16" t="inlineStr">
        <is>
          <t>테스트용 데이터</t>
        </is>
      </c>
    </row>
    <row r="158">
      <c r="B158" s="15" t="inlineStr">
        <is>
          <t>ReverseFaction</t>
        </is>
      </c>
      <c r="C158" s="16" t="inlineStr">
        <is>
          <t>테스트용 데이터</t>
        </is>
      </c>
    </row>
    <row r="159">
      <c r="B159" s="15" t="inlineStr">
        <is>
          <t>DeathEndure</t>
        </is>
      </c>
      <c r="C159" s="16" t="inlineStr">
        <is>
          <t>테스트용 데이터</t>
        </is>
      </c>
    </row>
    <row r="160">
      <c r="B160" s="15" t="inlineStr">
        <is>
          <t>DenyUseItem</t>
        </is>
      </c>
      <c r="C160" s="16" t="inlineStr">
        <is>
          <t>테스트용 데이터</t>
        </is>
      </c>
    </row>
    <row r="161">
      <c r="B161" s="15" t="inlineStr">
        <is>
          <t>SealPassive</t>
        </is>
      </c>
      <c r="C161" s="16" t="inlineStr">
        <is>
          <t>테스트용 데이터</t>
        </is>
      </c>
    </row>
    <row r="162">
      <c r="B162" s="15" t="inlineStr">
        <is>
          <t>OverHeal</t>
        </is>
      </c>
      <c r="C162" s="16" t="inlineStr">
        <is>
          <t>테스트용 데이터</t>
        </is>
      </c>
    </row>
    <row r="163">
      <c r="B163" s="15" t="inlineStr">
        <is>
          <t>CollisionSwitch</t>
        </is>
      </c>
      <c r="C163" s="16" t="inlineStr">
        <is>
          <t>테스트용 데이터</t>
        </is>
      </c>
    </row>
    <row r="164">
      <c r="B164" s="15" t="inlineStr">
        <is>
          <t>SealPassive</t>
        </is>
      </c>
      <c r="C164" s="16" t="inlineStr">
        <is>
          <t>테스트용 데이터</t>
        </is>
      </c>
    </row>
    <row r="165">
      <c r="B165" s="15" t="inlineStr">
        <is>
          <t>RunFromEnemy</t>
        </is>
      </c>
      <c r="C165" s="16" t="inlineStr">
        <is>
          <t>패시브</t>
        </is>
      </c>
    </row>
    <row r="166">
      <c r="B166" s="15" t="inlineStr">
        <is>
          <t>NextUseItemFree</t>
        </is>
      </c>
      <c r="C166" s="16" t="inlineStr">
        <is>
          <t>패시브</t>
        </is>
      </c>
    </row>
    <row r="167">
      <c r="B167" s="15" t="inlineStr">
        <is>
          <t>ModRateGuardStamina</t>
        </is>
      </c>
      <c r="C167" s="16" t="inlineStr">
        <is>
          <t>패시브</t>
        </is>
      </c>
    </row>
    <row r="168">
      <c r="B168" s="15" t="inlineStr">
        <is>
          <t>ModRateActivateStatusEffectDuration</t>
        </is>
      </c>
      <c r="C168" s="16" t="inlineStr">
        <is>
          <t>패시브</t>
        </is>
      </c>
    </row>
    <row r="169">
      <c r="B169" s="15" t="inlineStr">
        <is>
          <t>NextPickStackItemIncrease</t>
        </is>
      </c>
      <c r="C169" s="16" t="inlineStr">
        <is>
          <t>패시브</t>
        </is>
      </c>
    </row>
    <row r="170">
      <c r="B170" s="15" t="inlineStr">
        <is>
          <t>ShieldHPPotion</t>
        </is>
      </c>
      <c r="C170" s="16" t="inlineStr">
        <is>
          <t>패시브</t>
        </is>
      </c>
    </row>
    <row r="171">
      <c r="B171" s="15" t="inlineStr">
        <is>
          <t>Immune</t>
        </is>
      </c>
      <c r="C171" s="16" t="inlineStr">
        <is>
          <t>뱀파이어 포션 - 힐 불가가 개발 예정에 없어서 임시 값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0"/>
  <sheetViews>
    <sheetView zoomScale="75" zoomScaleNormal="75" workbookViewId="0">
      <pane xSplit="3" ySplit="2" topLeftCell="J54" activePane="bottomRight" state="frozen"/>
      <selection pane="topRight" activeCell="D1" sqref="D1"/>
      <selection pane="bottomLeft" activeCell="A3" sqref="A3"/>
      <selection pane="bottomRight" activeCell="B57" sqref="B57"/>
    </sheetView>
  </sheetViews>
  <sheetFormatPr baseColWidth="8" defaultRowHeight="16.5"/>
  <cols>
    <col width="11" bestFit="1" customWidth="1" min="1" max="1"/>
    <col width="32" bestFit="1" customWidth="1" style="46" min="2" max="2"/>
    <col width="80.125" customWidth="1" min="3" max="3"/>
    <col width="12.375" bestFit="1" customWidth="1" min="4" max="4"/>
    <col width="19.125" bestFit="1" customWidth="1" min="5" max="5"/>
    <col width="23.125" bestFit="1" customWidth="1" min="6" max="6"/>
    <col width="13" bestFit="1" customWidth="1" min="7" max="7"/>
    <col width="21" bestFit="1" customWidth="1" min="8" max="8"/>
    <col width="19.75" bestFit="1" customWidth="1" min="9" max="9"/>
    <col width="35.125" customWidth="1" min="10" max="10"/>
    <col width="16" bestFit="1" customWidth="1" min="11" max="11"/>
    <col width="16.625" bestFit="1" customWidth="1" min="12" max="12"/>
    <col width="20.625" bestFit="1" customWidth="1" min="13" max="13"/>
    <col width="21.125" bestFit="1" customWidth="1" min="14" max="14"/>
    <col width="15.625" customWidth="1" min="15" max="15"/>
    <col width="19.5" bestFit="1" customWidth="1" min="16" max="16"/>
    <col width="20.625" bestFit="1" customWidth="1" min="17" max="17"/>
    <col width="21.125" bestFit="1" customWidth="1" min="18" max="18"/>
  </cols>
  <sheetData>
    <row r="1">
      <c r="A1" t="inlineStr">
        <is>
          <t>DataGroup</t>
        </is>
      </c>
      <c r="B1" s="46" t="inlineStr">
        <is>
          <t>Passive</t>
        </is>
      </c>
      <c r="K1" s="63" t="inlineStr">
        <is>
          <t>모듈/퍽 관련</t>
        </is>
      </c>
    </row>
    <row r="2">
      <c r="A2" t="inlineStr">
        <is>
          <t>id</t>
        </is>
      </c>
      <c r="B2" s="47" t="inlineStr">
        <is>
          <t>#effect_group</t>
        </is>
      </c>
      <c r="C2" s="1" t="inlineStr">
        <is>
          <t>#effect_memo</t>
        </is>
      </c>
      <c r="D2" t="inlineStr">
        <is>
          <t>passive_lv</t>
        </is>
      </c>
      <c r="E2" t="inlineStr">
        <is>
          <t>passive_group_id</t>
        </is>
      </c>
      <c r="F2" t="inlineStr">
        <is>
          <t>passive_property_id</t>
        </is>
      </c>
      <c r="G2" t="inlineStr">
        <is>
          <t>skill_ui_type</t>
        </is>
      </c>
      <c r="H2" t="inlineStr">
        <is>
          <t>display_name</t>
        </is>
      </c>
      <c r="I2" t="inlineStr">
        <is>
          <t>display_desc</t>
        </is>
      </c>
      <c r="J2" t="inlineStr">
        <is>
          <t>icon</t>
        </is>
      </c>
      <c r="K2" t="inlineStr">
        <is>
          <t>passive_type</t>
        </is>
      </c>
      <c r="L2" t="inlineStr">
        <is>
          <t>use_target_id</t>
        </is>
      </c>
      <c r="M2" t="inlineStr">
        <is>
          <t>skill_ui_id</t>
        </is>
      </c>
      <c r="N2" t="inlineStr">
        <is>
          <t>is_additive</t>
        </is>
      </c>
      <c r="O2" t="inlineStr">
        <is>
          <t>is_swap_clear</t>
        </is>
      </c>
      <c r="P2" t="inlineStr">
        <is>
          <t>is_kill_ownerdeath</t>
        </is>
      </c>
      <c r="Q2" t="inlineStr">
        <is>
          <t>is_kill_round_end</t>
        </is>
      </c>
      <c r="R2" t="inlineStr">
        <is>
          <t>is_kill_shift_round</t>
        </is>
      </c>
      <c r="S2" t="inlineStr">
        <is>
          <t>token_equip_cost</t>
        </is>
      </c>
    </row>
    <row r="3">
      <c r="A3" t="n">
        <v>101</v>
      </c>
      <c r="B3" s="46" t="inlineStr">
        <is>
          <t>[에어드롭]</t>
        </is>
      </c>
      <c r="C3" t="inlineStr">
        <is>
          <t>사격 공격력 +20%</t>
        </is>
      </c>
      <c r="D3" t="n">
        <v>1</v>
      </c>
      <c r="E3" t="n">
        <v>101</v>
      </c>
      <c r="F3">
        <f>Passive[[#This Row],[id]]</f>
        <v/>
      </c>
      <c r="G3" t="inlineStr">
        <is>
          <t>Passive</t>
        </is>
      </c>
      <c r="H3" t="inlineStr">
        <is>
          <t>Passive_Name_101</t>
        </is>
      </c>
      <c r="I3" t="inlineStr">
        <is>
          <t>Passive_Desc_101</t>
        </is>
      </c>
      <c r="J3" t="inlineStr">
        <is>
          <t>icon_skill_passive_stat_06</t>
        </is>
      </c>
      <c r="M3" t="n">
        <v>101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t="n">
        <v>102</v>
      </c>
      <c r="B4" s="46" t="inlineStr">
        <is>
          <t>[에어드롭]</t>
        </is>
      </c>
      <c r="C4" t="inlineStr">
        <is>
          <t>사격 속도 +15%</t>
        </is>
      </c>
      <c r="D4" t="n">
        <v>1</v>
      </c>
      <c r="E4" t="n">
        <v>102</v>
      </c>
      <c r="F4">
        <f>Passive[[#This Row],[id]]</f>
        <v/>
      </c>
      <c r="G4" t="inlineStr">
        <is>
          <t>Passive</t>
        </is>
      </c>
      <c r="H4" t="inlineStr">
        <is>
          <t>Passive_Name_102</t>
        </is>
      </c>
      <c r="I4" t="inlineStr">
        <is>
          <t>Passive_Desc_102</t>
        </is>
      </c>
      <c r="J4" t="inlineStr">
        <is>
          <t>icon_skill_normal_attack_bow_01</t>
        </is>
      </c>
      <c r="M4" t="n">
        <v>102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</row>
    <row r="5">
      <c r="A5" t="n">
        <v>103</v>
      </c>
      <c r="B5" s="46" t="inlineStr">
        <is>
          <t>[에어드롭]</t>
        </is>
      </c>
      <c r="C5" t="inlineStr">
        <is>
          <t>이동 속도 +15%</t>
        </is>
      </c>
      <c r="D5" t="n">
        <v>1</v>
      </c>
      <c r="E5" t="n">
        <v>103</v>
      </c>
      <c r="F5">
        <f>Passive[[#This Row],[id]]</f>
        <v/>
      </c>
      <c r="G5" t="inlineStr">
        <is>
          <t>Passive</t>
        </is>
      </c>
      <c r="H5" t="inlineStr">
        <is>
          <t>Passive_Name_103</t>
        </is>
      </c>
      <c r="I5" t="inlineStr">
        <is>
          <t>Passive_Desc_103</t>
        </is>
      </c>
      <c r="J5" t="inlineStr">
        <is>
          <t>icon_skill_passive_talent_34</t>
        </is>
      </c>
      <c r="M5" t="n">
        <v>103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t="n">
        <v>104</v>
      </c>
      <c r="B6" s="46" t="inlineStr">
        <is>
          <t>[에어드롭]</t>
        </is>
      </c>
      <c r="C6" t="inlineStr">
        <is>
          <t xml:space="preserve">정확도 +80% </t>
        </is>
      </c>
      <c r="D6" t="n">
        <v>1</v>
      </c>
      <c r="E6" t="n">
        <v>104</v>
      </c>
      <c r="F6">
        <f>Passive[[#This Row],[id]]</f>
        <v/>
      </c>
      <c r="G6" t="inlineStr">
        <is>
          <t>Passive</t>
        </is>
      </c>
      <c r="H6" t="inlineStr">
        <is>
          <t>Passive_Name_104</t>
        </is>
      </c>
      <c r="I6" t="inlineStr">
        <is>
          <t>Passive_Desc_104</t>
        </is>
      </c>
      <c r="J6" t="inlineStr">
        <is>
          <t>icon_skill_active_bow_06</t>
        </is>
      </c>
      <c r="M6" t="n">
        <v>104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t="n">
        <v>105</v>
      </c>
      <c r="B7" s="46" t="inlineStr">
        <is>
          <t>[에어드롭]</t>
        </is>
      </c>
      <c r="C7" t="inlineStr">
        <is>
          <t>재장전 속도 +80%</t>
        </is>
      </c>
      <c r="D7" t="n">
        <v>1</v>
      </c>
      <c r="E7" t="n">
        <v>105</v>
      </c>
      <c r="F7">
        <f>Passive[[#This Row],[id]]</f>
        <v/>
      </c>
      <c r="G7" t="inlineStr">
        <is>
          <t>Passive</t>
        </is>
      </c>
      <c r="H7" t="inlineStr">
        <is>
          <t>Passive_Name_105</t>
        </is>
      </c>
      <c r="I7" t="inlineStr">
        <is>
          <t>Passive_Desc_105</t>
        </is>
      </c>
      <c r="J7" t="inlineStr">
        <is>
          <t>icon_skill_active_bow_06</t>
        </is>
      </c>
      <c r="M7" t="n">
        <v>105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t="n">
        <v>106</v>
      </c>
      <c r="B8" s="46" t="inlineStr">
        <is>
          <t>[에어드롭]</t>
        </is>
      </c>
      <c r="C8" t="inlineStr">
        <is>
          <t>최대 체력 +35</t>
        </is>
      </c>
      <c r="D8" t="n">
        <v>1</v>
      </c>
      <c r="E8" t="n">
        <v>106</v>
      </c>
      <c r="F8">
        <f>Passive[[#This Row],[id]]</f>
        <v/>
      </c>
      <c r="G8" t="inlineStr">
        <is>
          <t>Passive</t>
        </is>
      </c>
      <c r="H8" t="inlineStr">
        <is>
          <t>Passive_Name_106</t>
        </is>
      </c>
      <c r="I8" t="inlineStr">
        <is>
          <t>Passive_Desc_106</t>
        </is>
      </c>
      <c r="J8" t="inlineStr">
        <is>
          <t>icon_skill_passive_stat_15</t>
        </is>
      </c>
      <c r="M8" t="n">
        <v>106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t="n">
        <v>107</v>
      </c>
      <c r="B9" s="46" t="inlineStr">
        <is>
          <t>[에어드롭]</t>
        </is>
      </c>
      <c r="C9" t="inlineStr">
        <is>
          <t>궁극기 게이지 30% 즉시 충전</t>
        </is>
      </c>
      <c r="D9" t="n">
        <v>1</v>
      </c>
      <c r="E9" t="n">
        <v>107</v>
      </c>
      <c r="F9">
        <f>Passive[[#This Row],[id]]</f>
        <v/>
      </c>
      <c r="G9" t="inlineStr">
        <is>
          <t>Passive</t>
        </is>
      </c>
      <c r="H9" t="inlineStr">
        <is>
          <t>Passive_Name_107</t>
        </is>
      </c>
      <c r="I9" t="inlineStr">
        <is>
          <t>Passive_Desc_107</t>
        </is>
      </c>
      <c r="J9" t="inlineStr">
        <is>
          <t>icon_skill_passive_talent_04</t>
        </is>
      </c>
      <c r="M9" t="n">
        <v>107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</row>
    <row r="10">
      <c r="A10" t="n">
        <v>108</v>
      </c>
      <c r="B10" s="46" t="inlineStr">
        <is>
          <t>[에어드롭]</t>
        </is>
      </c>
      <c r="C10" t="inlineStr">
        <is>
          <t>스킬 쿨타임 가속 +8%</t>
        </is>
      </c>
      <c r="D10" t="n">
        <v>1</v>
      </c>
      <c r="E10" t="n">
        <v>108</v>
      </c>
      <c r="F10">
        <f>Passive[[#This Row],[id]]</f>
        <v/>
      </c>
      <c r="G10" t="inlineStr">
        <is>
          <t>Passive</t>
        </is>
      </c>
      <c r="H10" t="inlineStr">
        <is>
          <t>Passive_Name_109</t>
        </is>
      </c>
      <c r="I10" t="inlineStr">
        <is>
          <t>Passive_Desc_109</t>
        </is>
      </c>
      <c r="J10" t="inlineStr">
        <is>
          <t>icon_skill_passive_talent_22</t>
        </is>
      </c>
      <c r="M10" t="n">
        <v>108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t="n">
        <v>109</v>
      </c>
      <c r="B11" s="46" t="inlineStr">
        <is>
          <t>[에어드롭]</t>
        </is>
      </c>
      <c r="C11" t="inlineStr">
        <is>
          <t>받는 피해 -10%</t>
        </is>
      </c>
      <c r="D11" t="n">
        <v>1</v>
      </c>
      <c r="E11" t="n">
        <v>109</v>
      </c>
      <c r="F11">
        <f>Passive[[#This Row],[id]]</f>
        <v/>
      </c>
      <c r="G11" t="inlineStr">
        <is>
          <t>Passive</t>
        </is>
      </c>
      <c r="H11" t="inlineStr">
        <is>
          <t>Passive_Name_110</t>
        </is>
      </c>
      <c r="I11" t="inlineStr">
        <is>
          <t>Passive_Desc_110</t>
        </is>
      </c>
      <c r="J11" t="inlineStr">
        <is>
          <t>icon_skill_passive_stat_06</t>
        </is>
      </c>
      <c r="M11" t="n">
        <v>109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</row>
    <row r="12">
      <c r="A12" t="n">
        <v>201</v>
      </c>
      <c r="B12" s="46" t="inlineStr">
        <is>
          <t>[보급상자]</t>
        </is>
      </c>
      <c r="C12" t="inlineStr">
        <is>
          <t>사격 공격력 +20%</t>
        </is>
      </c>
      <c r="D12" t="n">
        <v>1</v>
      </c>
      <c r="E12" t="n">
        <v>201</v>
      </c>
      <c r="F12">
        <f>Passive[[#This Row],[id]]</f>
        <v/>
      </c>
      <c r="G12" t="inlineStr">
        <is>
          <t>Passive</t>
        </is>
      </c>
      <c r="H12" t="inlineStr">
        <is>
          <t>Passive_Name_101</t>
        </is>
      </c>
      <c r="I12" t="inlineStr">
        <is>
          <t>Passive_Desc_101</t>
        </is>
      </c>
      <c r="J12" t="inlineStr">
        <is>
          <t>icon_skill_passive_stat_06</t>
        </is>
      </c>
      <c r="M12" t="n">
        <v>201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  <row r="13">
      <c r="A13" t="n">
        <v>202</v>
      </c>
      <c r="B13" s="46" t="inlineStr">
        <is>
          <t>[보급상자]</t>
        </is>
      </c>
      <c r="C13" t="inlineStr">
        <is>
          <t>사격 속도 +15%</t>
        </is>
      </c>
      <c r="D13" t="n">
        <v>1</v>
      </c>
      <c r="E13" t="n">
        <v>202</v>
      </c>
      <c r="F13">
        <f>Passive[[#This Row],[id]]</f>
        <v/>
      </c>
      <c r="G13" t="inlineStr">
        <is>
          <t>Passive</t>
        </is>
      </c>
      <c r="H13" t="inlineStr">
        <is>
          <t>Passive_Name_102</t>
        </is>
      </c>
      <c r="I13" t="inlineStr">
        <is>
          <t>Passive_Desc_102</t>
        </is>
      </c>
      <c r="J13" t="inlineStr">
        <is>
          <t>icon_skill_normal_attack_bow_01</t>
        </is>
      </c>
      <c r="M13" t="n">
        <v>202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t="n">
        <v>203</v>
      </c>
      <c r="B14" s="46" t="inlineStr">
        <is>
          <t>[보급상자]</t>
        </is>
      </c>
      <c r="C14" t="inlineStr">
        <is>
          <t>이동 속도 +15%</t>
        </is>
      </c>
      <c r="D14" t="n">
        <v>1</v>
      </c>
      <c r="E14" t="n">
        <v>203</v>
      </c>
      <c r="F14">
        <f>Passive[[#This Row],[id]]</f>
        <v/>
      </c>
      <c r="G14" t="inlineStr">
        <is>
          <t>Passive</t>
        </is>
      </c>
      <c r="H14" t="inlineStr">
        <is>
          <t>Passive_Name_103</t>
        </is>
      </c>
      <c r="I14" t="inlineStr">
        <is>
          <t>Passive_Desc_103</t>
        </is>
      </c>
      <c r="J14" t="inlineStr">
        <is>
          <t>icon_skill_passive_talent_34</t>
        </is>
      </c>
      <c r="M14" t="n">
        <v>203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t="n">
        <v>204</v>
      </c>
      <c r="B15" s="46" t="inlineStr">
        <is>
          <t>[보급상자]</t>
        </is>
      </c>
      <c r="C15" t="inlineStr">
        <is>
          <t xml:space="preserve">탄퍼짐 -80% </t>
        </is>
      </c>
      <c r="D15" t="n">
        <v>1</v>
      </c>
      <c r="E15" t="n">
        <v>204</v>
      </c>
      <c r="F15">
        <f>Passive[[#This Row],[id]]</f>
        <v/>
      </c>
      <c r="G15" t="inlineStr">
        <is>
          <t>Passive</t>
        </is>
      </c>
      <c r="H15" t="inlineStr">
        <is>
          <t>Passive_Name_104</t>
        </is>
      </c>
      <c r="I15" t="inlineStr">
        <is>
          <t>Passive_Desc_104</t>
        </is>
      </c>
      <c r="J15" t="inlineStr">
        <is>
          <t>icon_skill_active_bow_06</t>
        </is>
      </c>
      <c r="M15" t="n">
        <v>204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</row>
    <row r="16">
      <c r="A16" t="n">
        <v>205</v>
      </c>
      <c r="B16" s="46" t="inlineStr">
        <is>
          <t>[보급상자]</t>
        </is>
      </c>
      <c r="C16" t="inlineStr">
        <is>
          <t>재장전 속도 +80%</t>
        </is>
      </c>
      <c r="D16" t="n">
        <v>1</v>
      </c>
      <c r="E16" t="n">
        <v>205</v>
      </c>
      <c r="F16">
        <f>Passive[[#This Row],[id]]</f>
        <v/>
      </c>
      <c r="G16" t="inlineStr">
        <is>
          <t>Passive</t>
        </is>
      </c>
      <c r="H16" t="inlineStr">
        <is>
          <t>Passive_Name_105</t>
        </is>
      </c>
      <c r="I16" t="inlineStr">
        <is>
          <t>Passive_Desc_105</t>
        </is>
      </c>
      <c r="J16" t="inlineStr">
        <is>
          <t>icon_skill_active_bow_06</t>
        </is>
      </c>
      <c r="M16" t="n">
        <v>205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</row>
    <row r="17">
      <c r="A17" t="n">
        <v>206</v>
      </c>
      <c r="B17" s="46" t="inlineStr">
        <is>
          <t>[보급상자]</t>
        </is>
      </c>
      <c r="C17" t="inlineStr">
        <is>
          <t>최대 체력 +35</t>
        </is>
      </c>
      <c r="D17" t="n">
        <v>1</v>
      </c>
      <c r="E17" t="n">
        <v>206</v>
      </c>
      <c r="F17">
        <f>Passive[[#This Row],[id]]</f>
        <v/>
      </c>
      <c r="G17" t="inlineStr">
        <is>
          <t>Passive</t>
        </is>
      </c>
      <c r="H17" t="inlineStr">
        <is>
          <t>Passive_Name_106</t>
        </is>
      </c>
      <c r="I17" t="inlineStr">
        <is>
          <t>Passive_Desc_106</t>
        </is>
      </c>
      <c r="J17" t="inlineStr">
        <is>
          <t>icon_skill_passive_stat_15</t>
        </is>
      </c>
      <c r="M17" t="n">
        <v>206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n">
        <v>207</v>
      </c>
      <c r="B18" s="46" t="inlineStr">
        <is>
          <t>[보급상자]</t>
        </is>
      </c>
      <c r="C18" t="inlineStr">
        <is>
          <t>궁극기 게이지 30% 즉시 충전</t>
        </is>
      </c>
      <c r="D18" t="n">
        <v>1</v>
      </c>
      <c r="E18" t="n">
        <v>207</v>
      </c>
      <c r="F18">
        <f>Passive[[#This Row],[id]]</f>
        <v/>
      </c>
      <c r="G18" t="inlineStr">
        <is>
          <t>Passive</t>
        </is>
      </c>
      <c r="H18" t="inlineStr">
        <is>
          <t>Passive_Name_107</t>
        </is>
      </c>
      <c r="I18" t="inlineStr">
        <is>
          <t>Passive_Desc_107</t>
        </is>
      </c>
      <c r="J18" t="inlineStr">
        <is>
          <t>icon_skill_passive_talent_04</t>
        </is>
      </c>
      <c r="M18" t="n">
        <v>207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</row>
    <row r="19">
      <c r="A19" t="n">
        <v>208</v>
      </c>
      <c r="B19" s="46" t="inlineStr">
        <is>
          <t>[보급상자]</t>
        </is>
      </c>
      <c r="C19" t="inlineStr">
        <is>
          <t>스킬 쿨타임 가속 +8%</t>
        </is>
      </c>
      <c r="D19" t="n">
        <v>1</v>
      </c>
      <c r="E19" t="n">
        <v>208</v>
      </c>
      <c r="F19">
        <f>Passive[[#This Row],[id]]</f>
        <v/>
      </c>
      <c r="G19" t="inlineStr">
        <is>
          <t>Passive</t>
        </is>
      </c>
      <c r="H19" t="inlineStr">
        <is>
          <t>Passive_Name_109</t>
        </is>
      </c>
      <c r="I19" t="inlineStr">
        <is>
          <t>Passive_Desc_109</t>
        </is>
      </c>
      <c r="J19" t="inlineStr">
        <is>
          <t>icon_skill_passive_talent_22</t>
        </is>
      </c>
      <c r="M19" t="n">
        <v>208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</row>
    <row r="20" ht="17.25" customFormat="1" customHeight="1" s="36" thickBot="1">
      <c r="A20" s="36" t="n">
        <v>209</v>
      </c>
      <c r="B20" s="48" t="inlineStr">
        <is>
          <t>[보급상자]</t>
        </is>
      </c>
      <c r="C20" s="36" t="inlineStr">
        <is>
          <t>받는 피해 -10%</t>
        </is>
      </c>
      <c r="D20" s="36" t="n">
        <v>1</v>
      </c>
      <c r="E20" s="36" t="n">
        <v>209</v>
      </c>
      <c r="F20" s="36">
        <f>Passive[[#This Row],[id]]</f>
        <v/>
      </c>
      <c r="G20" s="36" t="inlineStr">
        <is>
          <t>Passive</t>
        </is>
      </c>
      <c r="H20" s="36" t="inlineStr">
        <is>
          <t>Passive_Name_110</t>
        </is>
      </c>
      <c r="I20" s="36" t="inlineStr">
        <is>
          <t>Passive_Desc_110</t>
        </is>
      </c>
      <c r="J20" s="36" t="inlineStr">
        <is>
          <t>icon_skill_passive_stat_06</t>
        </is>
      </c>
      <c r="M20" s="36" t="n">
        <v>209</v>
      </c>
      <c r="N20" s="36" t="n">
        <v>1</v>
      </c>
      <c r="O20" s="36" t="n">
        <v>0</v>
      </c>
      <c r="P20" s="36" t="n">
        <v>1</v>
      </c>
      <c r="Q20" s="36" t="n">
        <v>1</v>
      </c>
      <c r="R20" s="36" t="n">
        <v>1</v>
      </c>
      <c r="S20" s="36" t="n">
        <v>0</v>
      </c>
    </row>
    <row r="21" ht="17.25" customHeight="1">
      <c r="A21" t="n">
        <v>11001</v>
      </c>
      <c r="B21" s="46" t="inlineStr">
        <is>
          <t>[모듈/퍽 테스트]</t>
        </is>
      </c>
      <c r="C21" t="inlineStr">
        <is>
          <t>사격 공격력 +10%</t>
        </is>
      </c>
      <c r="D21" t="n">
        <v>1</v>
      </c>
      <c r="E21" t="n">
        <v>11001</v>
      </c>
      <c r="F21">
        <f>Passive[[#This Row],[id]]</f>
        <v/>
      </c>
      <c r="G21" t="inlineStr">
        <is>
          <t>Passive</t>
        </is>
      </c>
      <c r="H21" t="inlineStr">
        <is>
          <t>Passive_Name_101</t>
        </is>
      </c>
      <c r="I21" t="inlineStr">
        <is>
          <t>Passive_Desc_101</t>
        </is>
      </c>
      <c r="J21" t="inlineStr">
        <is>
          <t>icon_skill_passive_stat_06</t>
        </is>
      </c>
      <c r="K21" t="inlineStr">
        <is>
          <t>ModuleItem</t>
        </is>
      </c>
      <c r="L21" t="n">
        <v>-1</v>
      </c>
      <c r="M21" t="n">
        <v>11001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 ht="17.25" customHeight="1">
      <c r="A22" t="n">
        <v>11002</v>
      </c>
      <c r="B22" s="46" t="inlineStr">
        <is>
          <t>[모듈/퍽 테스트]</t>
        </is>
      </c>
      <c r="C22" t="inlineStr">
        <is>
          <t>사격 속도 +7.5%</t>
        </is>
      </c>
      <c r="D22" t="n">
        <v>1</v>
      </c>
      <c r="E22" t="n">
        <v>11002</v>
      </c>
      <c r="F22">
        <f>Passive[[#This Row],[id]]</f>
        <v/>
      </c>
      <c r="G22" t="inlineStr">
        <is>
          <t>Passive</t>
        </is>
      </c>
      <c r="H22" t="inlineStr">
        <is>
          <t>Passive_Name_102</t>
        </is>
      </c>
      <c r="I22" t="inlineStr">
        <is>
          <t>Passive_Desc_102</t>
        </is>
      </c>
      <c r="J22" t="inlineStr">
        <is>
          <t>icon_skill_normal_attack_bow_01</t>
        </is>
      </c>
      <c r="K22" t="inlineStr">
        <is>
          <t>ModuleItem</t>
        </is>
      </c>
      <c r="L22" t="n">
        <v>-1</v>
      </c>
      <c r="M22" t="n">
        <v>11002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 ht="17.25" customHeight="1">
      <c r="A23" t="n">
        <v>11003</v>
      </c>
      <c r="B23" s="46" t="inlineStr">
        <is>
          <t>[모듈/퍽 테스트]</t>
        </is>
      </c>
      <c r="C23" t="inlineStr">
        <is>
          <t>이동 속도 +7.5%</t>
        </is>
      </c>
      <c r="D23" t="n">
        <v>1</v>
      </c>
      <c r="E23" t="n">
        <v>11003</v>
      </c>
      <c r="F23">
        <f>Passive[[#This Row],[id]]</f>
        <v/>
      </c>
      <c r="G23" t="inlineStr">
        <is>
          <t>Passive</t>
        </is>
      </c>
      <c r="H23" t="inlineStr">
        <is>
          <t>Passive_Name_103</t>
        </is>
      </c>
      <c r="I23" t="inlineStr">
        <is>
          <t>Passive_Desc_103</t>
        </is>
      </c>
      <c r="J23" t="inlineStr">
        <is>
          <t>icon_skill_passive_talent_34</t>
        </is>
      </c>
      <c r="K23" t="inlineStr">
        <is>
          <t>ModuleItem</t>
        </is>
      </c>
      <c r="L23" t="n">
        <v>-1</v>
      </c>
      <c r="M23" t="n">
        <v>11003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 ht="17.25" customHeight="1">
      <c r="A24" t="n">
        <v>11004</v>
      </c>
      <c r="B24" s="46" t="inlineStr">
        <is>
          <t>[모듈/퍽 테스트]</t>
        </is>
      </c>
      <c r="C24" t="inlineStr">
        <is>
          <t xml:space="preserve">정확도 +40% </t>
        </is>
      </c>
      <c r="D24" t="n">
        <v>1</v>
      </c>
      <c r="E24" t="n">
        <v>11004</v>
      </c>
      <c r="F24">
        <f>Passive[[#This Row],[id]]</f>
        <v/>
      </c>
      <c r="G24" t="inlineStr">
        <is>
          <t>Passive</t>
        </is>
      </c>
      <c r="H24" t="inlineStr">
        <is>
          <t>Passive_Name_104</t>
        </is>
      </c>
      <c r="I24" t="inlineStr">
        <is>
          <t>Passive_Desc_104</t>
        </is>
      </c>
      <c r="J24" t="inlineStr">
        <is>
          <t>icon_skill_active_bow_06</t>
        </is>
      </c>
      <c r="K24" t="inlineStr">
        <is>
          <t>ModuleItem</t>
        </is>
      </c>
      <c r="L24" t="n">
        <v>1001</v>
      </c>
      <c r="M24" t="n">
        <v>11004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 ht="17.25" customHeight="1">
      <c r="A25" t="n">
        <v>11005</v>
      </c>
      <c r="B25" s="46" t="inlineStr">
        <is>
          <t>[모듈/퍽 테스트]</t>
        </is>
      </c>
      <c r="C25" t="inlineStr">
        <is>
          <t>재장전 속도 +40%</t>
        </is>
      </c>
      <c r="D25" t="n">
        <v>1</v>
      </c>
      <c r="E25" t="n">
        <v>11005</v>
      </c>
      <c r="F25">
        <f>Passive[[#This Row],[id]]</f>
        <v/>
      </c>
      <c r="G25" t="inlineStr">
        <is>
          <t>Passive</t>
        </is>
      </c>
      <c r="H25" t="inlineStr">
        <is>
          <t>Passive_Name_105</t>
        </is>
      </c>
      <c r="I25" t="inlineStr">
        <is>
          <t>Passive_Desc_105</t>
        </is>
      </c>
      <c r="J25" t="inlineStr">
        <is>
          <t>icon_skill_active_bow_06</t>
        </is>
      </c>
      <c r="K25" t="inlineStr">
        <is>
          <t>ModuleItem</t>
        </is>
      </c>
      <c r="L25" t="n">
        <v>1001</v>
      </c>
      <c r="M25" t="n">
        <v>11005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 ht="17.25" customHeight="1">
      <c r="A26" t="n">
        <v>11006</v>
      </c>
      <c r="B26" s="46" t="inlineStr">
        <is>
          <t>[모듈/퍽 테스트]</t>
        </is>
      </c>
      <c r="C26" t="inlineStr">
        <is>
          <t>최대 체력 +35</t>
        </is>
      </c>
      <c r="D26" t="n">
        <v>1</v>
      </c>
      <c r="E26" t="n">
        <v>11006</v>
      </c>
      <c r="F26">
        <f>Passive[[#This Row],[id]]</f>
        <v/>
      </c>
      <c r="G26" t="inlineStr">
        <is>
          <t>Passive</t>
        </is>
      </c>
      <c r="H26" t="inlineStr">
        <is>
          <t>Passive_Name_106</t>
        </is>
      </c>
      <c r="I26" t="inlineStr">
        <is>
          <t>Passive_Desc_106</t>
        </is>
      </c>
      <c r="J26" t="inlineStr">
        <is>
          <t>icon_skill_passive_stat_15</t>
        </is>
      </c>
      <c r="K26" t="inlineStr">
        <is>
          <t>ModuleItem</t>
        </is>
      </c>
      <c r="L26" t="n">
        <v>1001</v>
      </c>
      <c r="M26" t="n">
        <v>11006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 ht="17.25" customHeight="1">
      <c r="A27" t="n">
        <v>11007</v>
      </c>
      <c r="B27" s="46" t="inlineStr">
        <is>
          <t>[모듈/퍽 테스트]</t>
        </is>
      </c>
      <c r="C27" t="inlineStr">
        <is>
          <t>궁극기 게이지 10% 즉시 충전</t>
        </is>
      </c>
      <c r="D27" t="n">
        <v>1</v>
      </c>
      <c r="E27" t="n">
        <v>11007</v>
      </c>
      <c r="F27">
        <f>Passive[[#This Row],[id]]</f>
        <v/>
      </c>
      <c r="G27" t="inlineStr">
        <is>
          <t>Passive</t>
        </is>
      </c>
      <c r="H27" t="inlineStr">
        <is>
          <t>Passive_Name_107</t>
        </is>
      </c>
      <c r="I27" t="inlineStr">
        <is>
          <t>Passive_Desc_107</t>
        </is>
      </c>
      <c r="J27" t="inlineStr">
        <is>
          <t>icon_skill_passive_talent_04</t>
        </is>
      </c>
      <c r="K27" t="inlineStr">
        <is>
          <t>PassiveItem</t>
        </is>
      </c>
      <c r="L27" t="n">
        <v>-1</v>
      </c>
      <c r="M27" t="n">
        <v>11007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 ht="17.25" customHeight="1">
      <c r="A28" t="n">
        <v>11008</v>
      </c>
      <c r="B28" s="46" t="inlineStr">
        <is>
          <t>[모듈/퍽 테스트]</t>
        </is>
      </c>
      <c r="C28" t="inlineStr">
        <is>
          <t>스킬 쿨타임 가속 +4%</t>
        </is>
      </c>
      <c r="D28" t="n">
        <v>1</v>
      </c>
      <c r="E28" t="n">
        <v>11008</v>
      </c>
      <c r="F28">
        <f>Passive[[#This Row],[id]]</f>
        <v/>
      </c>
      <c r="G28" t="inlineStr">
        <is>
          <t>Passive</t>
        </is>
      </c>
      <c r="H28" t="inlineStr">
        <is>
          <t>Passive_Name_109</t>
        </is>
      </c>
      <c r="I28" t="inlineStr">
        <is>
          <t>Passive_Desc_109</t>
        </is>
      </c>
      <c r="J28" t="inlineStr">
        <is>
          <t>icon_skill_passive_talent_22</t>
        </is>
      </c>
      <c r="K28" t="inlineStr">
        <is>
          <t>PassiveItem</t>
        </is>
      </c>
      <c r="L28" t="n">
        <v>-1</v>
      </c>
      <c r="M28" t="n">
        <v>11008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 ht="17.25" customFormat="1" customHeight="1" s="36" thickBot="1">
      <c r="A29" s="36" t="n">
        <v>11009</v>
      </c>
      <c r="B29" s="48" t="inlineStr">
        <is>
          <t>[모듈/퍽 테스트]</t>
        </is>
      </c>
      <c r="C29" s="36" t="inlineStr">
        <is>
          <t>받는 피해 -7.5%</t>
        </is>
      </c>
      <c r="D29" s="36" t="n">
        <v>1</v>
      </c>
      <c r="E29" s="36" t="n">
        <v>11009</v>
      </c>
      <c r="F29" s="36">
        <f>Passive[[#This Row],[id]]</f>
        <v/>
      </c>
      <c r="G29" s="36" t="inlineStr">
        <is>
          <t>Passive</t>
        </is>
      </c>
      <c r="H29" s="36" t="inlineStr">
        <is>
          <t>Passive_Name_110</t>
        </is>
      </c>
      <c r="I29" s="36" t="inlineStr">
        <is>
          <t>Passive_Desc_110</t>
        </is>
      </c>
      <c r="J29" s="36" t="inlineStr">
        <is>
          <t>icon_skill_passive_stat_06</t>
        </is>
      </c>
      <c r="K29" s="36" t="inlineStr">
        <is>
          <t>PassiveItem</t>
        </is>
      </c>
      <c r="L29" s="36" t="n">
        <v>-1</v>
      </c>
      <c r="M29" s="36" t="n">
        <v>11009</v>
      </c>
      <c r="N29" s="36" t="n">
        <v>1</v>
      </c>
      <c r="O29" s="36" t="n">
        <v>0</v>
      </c>
      <c r="P29" s="36" t="n">
        <v>0</v>
      </c>
      <c r="Q29" s="36" t="n">
        <v>0</v>
      </c>
      <c r="R29" s="36" t="n">
        <v>1</v>
      </c>
      <c r="S29" s="36" t="n">
        <v>0</v>
      </c>
    </row>
    <row r="30">
      <c r="A30" t="n">
        <v>10101101</v>
      </c>
      <c r="B30" s="46" t="inlineStr">
        <is>
          <t>[전술/임시]</t>
        </is>
      </c>
      <c r="C30" t="inlineStr">
        <is>
          <t>사격 공격력 +10%</t>
        </is>
      </c>
      <c r="D30" t="n">
        <v>1</v>
      </c>
      <c r="E30" t="n">
        <v>10101101</v>
      </c>
      <c r="F30">
        <f>Passive[[#This Row],[id]]</f>
        <v/>
      </c>
      <c r="G30" t="inlineStr">
        <is>
          <t>Passive</t>
        </is>
      </c>
      <c r="H30" t="inlineStr">
        <is>
          <t>Passive_Name_101</t>
        </is>
      </c>
      <c r="I30" t="inlineStr">
        <is>
          <t>Passive_Desc_101</t>
        </is>
      </c>
      <c r="J30" t="inlineStr">
        <is>
          <t>icon_skill_passive_stat_06</t>
        </is>
      </c>
      <c r="M30" t="n">
        <v>10101101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</row>
    <row r="31">
      <c r="A31" t="n">
        <v>10101102</v>
      </c>
      <c r="B31" s="46" t="inlineStr">
        <is>
          <t>[전술/임시]</t>
        </is>
      </c>
      <c r="C31" t="inlineStr">
        <is>
          <t>사격 속도 +7.5%</t>
        </is>
      </c>
      <c r="D31" t="n">
        <v>1</v>
      </c>
      <c r="E31" t="n">
        <v>10101102</v>
      </c>
      <c r="F31">
        <f>Passive[[#This Row],[id]]</f>
        <v/>
      </c>
      <c r="G31" t="inlineStr">
        <is>
          <t>Passive</t>
        </is>
      </c>
      <c r="H31" t="inlineStr">
        <is>
          <t>Passive_Name_102</t>
        </is>
      </c>
      <c r="I31" t="inlineStr">
        <is>
          <t>Passive_Desc_102</t>
        </is>
      </c>
      <c r="J31" t="inlineStr">
        <is>
          <t>icon_skill_normal_attack_bow_01</t>
        </is>
      </c>
      <c r="M31" t="n">
        <v>10101102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n">
        <v>10101103</v>
      </c>
      <c r="B32" s="46" t="inlineStr">
        <is>
          <t>[전술/임시]</t>
        </is>
      </c>
      <c r="C32" t="inlineStr">
        <is>
          <t>이동 속도 +7.5%</t>
        </is>
      </c>
      <c r="D32" t="n">
        <v>1</v>
      </c>
      <c r="E32" t="n">
        <v>10101103</v>
      </c>
      <c r="F32">
        <f>Passive[[#This Row],[id]]</f>
        <v/>
      </c>
      <c r="G32" t="inlineStr">
        <is>
          <t>Passive</t>
        </is>
      </c>
      <c r="H32" t="inlineStr">
        <is>
          <t>Passive_Name_103</t>
        </is>
      </c>
      <c r="I32" t="inlineStr">
        <is>
          <t>Passive_Desc_103</t>
        </is>
      </c>
      <c r="J32" t="inlineStr">
        <is>
          <t>icon_skill_passive_talent_34</t>
        </is>
      </c>
      <c r="M32" t="n">
        <v>10101103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10101104</v>
      </c>
      <c r="B33" s="46" t="inlineStr">
        <is>
          <t>[전술/임시]</t>
        </is>
      </c>
      <c r="C33" t="inlineStr">
        <is>
          <t xml:space="preserve">정확도 +40% </t>
        </is>
      </c>
      <c r="D33" t="n">
        <v>1</v>
      </c>
      <c r="E33" t="n">
        <v>10101104</v>
      </c>
      <c r="F33">
        <f>Passive[[#This Row],[id]]</f>
        <v/>
      </c>
      <c r="G33" t="inlineStr">
        <is>
          <t>Passive</t>
        </is>
      </c>
      <c r="H33" t="inlineStr">
        <is>
          <t>Passive_Name_104</t>
        </is>
      </c>
      <c r="I33" t="inlineStr">
        <is>
          <t>Passive_Desc_104</t>
        </is>
      </c>
      <c r="J33" t="inlineStr">
        <is>
          <t>icon_skill_active_bow_06</t>
        </is>
      </c>
      <c r="M33" t="n">
        <v>10101104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n">
        <v>10101105</v>
      </c>
      <c r="B34" s="46" t="inlineStr">
        <is>
          <t>[전술/임시]</t>
        </is>
      </c>
      <c r="C34" t="inlineStr">
        <is>
          <t>재장전 속도 +40%</t>
        </is>
      </c>
      <c r="D34" t="n">
        <v>1</v>
      </c>
      <c r="E34" t="n">
        <v>10101105</v>
      </c>
      <c r="F34">
        <f>Passive[[#This Row],[id]]</f>
        <v/>
      </c>
      <c r="G34" t="inlineStr">
        <is>
          <t>Passive</t>
        </is>
      </c>
      <c r="H34" t="inlineStr">
        <is>
          <t>Passive_Name_105</t>
        </is>
      </c>
      <c r="I34" t="inlineStr">
        <is>
          <t>Passive_Desc_105</t>
        </is>
      </c>
      <c r="J34" t="inlineStr">
        <is>
          <t>icon_skill_active_bow_06</t>
        </is>
      </c>
      <c r="M34" t="n">
        <v>10101105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</row>
    <row r="35">
      <c r="A35" t="n">
        <v>10101106</v>
      </c>
      <c r="B35" s="46" t="inlineStr">
        <is>
          <t>[전술/임시]</t>
        </is>
      </c>
      <c r="C35" t="inlineStr">
        <is>
          <t>최대 체력 +35</t>
        </is>
      </c>
      <c r="D35" t="n">
        <v>1</v>
      </c>
      <c r="E35" t="n">
        <v>10101106</v>
      </c>
      <c r="F35">
        <f>Passive[[#This Row],[id]]</f>
        <v/>
      </c>
      <c r="G35" t="inlineStr">
        <is>
          <t>Passive</t>
        </is>
      </c>
      <c r="H35" t="inlineStr">
        <is>
          <t>Passive_Name_106</t>
        </is>
      </c>
      <c r="I35" t="inlineStr">
        <is>
          <t>Passive_Desc_106</t>
        </is>
      </c>
      <c r="J35" t="inlineStr">
        <is>
          <t>icon_skill_passive_stat_15</t>
        </is>
      </c>
      <c r="M35" t="n">
        <v>10101106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n">
        <v>10101107</v>
      </c>
      <c r="B36" s="46" t="inlineStr">
        <is>
          <t>[전술/임시]</t>
        </is>
      </c>
      <c r="C36" t="inlineStr">
        <is>
          <t>궁극기 게이지 10% 즉시 충전</t>
        </is>
      </c>
      <c r="D36" t="n">
        <v>1</v>
      </c>
      <c r="E36" t="n">
        <v>10101107</v>
      </c>
      <c r="F36">
        <f>Passive[[#This Row],[id]]</f>
        <v/>
      </c>
      <c r="G36" t="inlineStr">
        <is>
          <t>Passive</t>
        </is>
      </c>
      <c r="H36" t="inlineStr">
        <is>
          <t>Passive_Name_107</t>
        </is>
      </c>
      <c r="I36" t="inlineStr">
        <is>
          <t>Passive_Desc_107</t>
        </is>
      </c>
      <c r="J36" t="inlineStr">
        <is>
          <t>icon_skill_passive_talent_04</t>
        </is>
      </c>
      <c r="M36" t="n">
        <v>10101107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n">
        <v>10101108</v>
      </c>
      <c r="B37" s="46" t="inlineStr">
        <is>
          <t>[전술/임시]</t>
        </is>
      </c>
      <c r="C37" t="inlineStr">
        <is>
          <t>스킬 쿨타임 가속 +4%</t>
        </is>
      </c>
      <c r="D37" t="n">
        <v>1</v>
      </c>
      <c r="E37" t="n">
        <v>10101108</v>
      </c>
      <c r="F37">
        <f>Passive[[#This Row],[id]]</f>
        <v/>
      </c>
      <c r="G37" t="inlineStr">
        <is>
          <t>Passive</t>
        </is>
      </c>
      <c r="H37" t="inlineStr">
        <is>
          <t>Passive_Name_109</t>
        </is>
      </c>
      <c r="I37" t="inlineStr">
        <is>
          <t>Passive_Desc_109</t>
        </is>
      </c>
      <c r="J37" t="inlineStr">
        <is>
          <t>icon_skill_passive_talent_22</t>
        </is>
      </c>
      <c r="M37" t="n">
        <v>10101108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 ht="17.25" customFormat="1" customHeight="1" s="36" thickBot="1">
      <c r="A38" s="36" t="n">
        <v>10101109</v>
      </c>
      <c r="B38" s="48" t="inlineStr">
        <is>
          <t>[전술/임시]</t>
        </is>
      </c>
      <c r="C38" s="36" t="inlineStr">
        <is>
          <t>받는 피해 -7.5%</t>
        </is>
      </c>
      <c r="D38" s="36" t="n">
        <v>1</v>
      </c>
      <c r="E38" s="36" t="n">
        <v>10101109</v>
      </c>
      <c r="F38" s="36">
        <f>Passive[[#This Row],[id]]</f>
        <v/>
      </c>
      <c r="G38" s="36" t="inlineStr">
        <is>
          <t>Passive</t>
        </is>
      </c>
      <c r="H38" s="36" t="inlineStr">
        <is>
          <t>Passive_Name_110</t>
        </is>
      </c>
      <c r="I38" s="36" t="inlineStr">
        <is>
          <t>Passive_Desc_110</t>
        </is>
      </c>
      <c r="J38" s="36" t="inlineStr">
        <is>
          <t>icon_skill_passive_stat_06</t>
        </is>
      </c>
      <c r="M38" s="36" t="n">
        <v>10101109</v>
      </c>
      <c r="N38" s="36" t="n">
        <v>1</v>
      </c>
      <c r="O38" s="36" t="n">
        <v>0</v>
      </c>
      <c r="P38" s="36" t="n">
        <v>0</v>
      </c>
      <c r="Q38" s="36" t="n">
        <v>0</v>
      </c>
      <c r="R38" s="36" t="n">
        <v>1</v>
      </c>
      <c r="S38" s="36" t="n">
        <v>0</v>
      </c>
    </row>
    <row r="39">
      <c r="A39" t="n">
        <v>10101201</v>
      </c>
      <c r="B39" s="46" t="inlineStr">
        <is>
          <t>[전술/임시/시너지]</t>
        </is>
      </c>
      <c r="C39" t="inlineStr">
        <is>
          <t>사격 공격력 +20%</t>
        </is>
      </c>
      <c r="D39" t="n">
        <v>1</v>
      </c>
      <c r="E39" t="n">
        <v>10101201</v>
      </c>
      <c r="F39">
        <f>Passive[[#This Row],[id]]</f>
        <v/>
      </c>
      <c r="G39" t="inlineStr">
        <is>
          <t>Passive</t>
        </is>
      </c>
      <c r="H39" t="inlineStr">
        <is>
          <t>Passive_Name_101</t>
        </is>
      </c>
      <c r="I39" t="inlineStr">
        <is>
          <t>Passive_Desc_101</t>
        </is>
      </c>
      <c r="J39" t="inlineStr">
        <is>
          <t>icon_skill_passive_stat_06</t>
        </is>
      </c>
      <c r="M39" t="n">
        <v>10101201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t="n">
        <v>10101202</v>
      </c>
      <c r="B40" s="46" t="inlineStr">
        <is>
          <t>[전술/임시/시너지]</t>
        </is>
      </c>
      <c r="C40" t="inlineStr">
        <is>
          <t>사격 속도 +15%</t>
        </is>
      </c>
      <c r="D40" t="n">
        <v>1</v>
      </c>
      <c r="E40" t="n">
        <v>10101202</v>
      </c>
      <c r="F40">
        <f>Passive[[#This Row],[id]]</f>
        <v/>
      </c>
      <c r="G40" t="inlineStr">
        <is>
          <t>Passive</t>
        </is>
      </c>
      <c r="H40" t="inlineStr">
        <is>
          <t>Passive_Name_102</t>
        </is>
      </c>
      <c r="I40" t="inlineStr">
        <is>
          <t>Passive_Desc_102</t>
        </is>
      </c>
      <c r="J40" t="inlineStr">
        <is>
          <t>icon_skill_normal_attack_bow_01</t>
        </is>
      </c>
      <c r="M40" t="n">
        <v>10101202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10101203</v>
      </c>
      <c r="B41" s="46" t="inlineStr">
        <is>
          <t>[전술/임시/시너지]</t>
        </is>
      </c>
      <c r="C41" t="inlineStr">
        <is>
          <t>이동 속도 +15%</t>
        </is>
      </c>
      <c r="D41" t="n">
        <v>1</v>
      </c>
      <c r="E41" t="n">
        <v>10101203</v>
      </c>
      <c r="F41">
        <f>Passive[[#This Row],[id]]</f>
        <v/>
      </c>
      <c r="G41" t="inlineStr">
        <is>
          <t>Passive</t>
        </is>
      </c>
      <c r="H41" t="inlineStr">
        <is>
          <t>Passive_Name_103</t>
        </is>
      </c>
      <c r="I41" t="inlineStr">
        <is>
          <t>Passive_Desc_103</t>
        </is>
      </c>
      <c r="J41" t="inlineStr">
        <is>
          <t>icon_skill_passive_talent_34</t>
        </is>
      </c>
      <c r="M41" t="n">
        <v>10101203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n">
        <v>10101204</v>
      </c>
      <c r="B42" s="46" t="inlineStr">
        <is>
          <t>[전술/임시/시너지]</t>
        </is>
      </c>
      <c r="C42" t="inlineStr">
        <is>
          <t xml:space="preserve">정확도 +80% </t>
        </is>
      </c>
      <c r="D42" t="n">
        <v>1</v>
      </c>
      <c r="E42" t="n">
        <v>10101204</v>
      </c>
      <c r="F42">
        <f>Passive[[#This Row],[id]]</f>
        <v/>
      </c>
      <c r="G42" t="inlineStr">
        <is>
          <t>Passive</t>
        </is>
      </c>
      <c r="H42" t="inlineStr">
        <is>
          <t>Passive_Name_104</t>
        </is>
      </c>
      <c r="I42" t="inlineStr">
        <is>
          <t>Passive_Desc_104</t>
        </is>
      </c>
      <c r="J42" t="inlineStr">
        <is>
          <t>icon_skill_active_bow_06</t>
        </is>
      </c>
      <c r="M42" t="n">
        <v>10101204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n">
        <v>10101205</v>
      </c>
      <c r="B43" s="46" t="inlineStr">
        <is>
          <t>[전술/임시/시너지]</t>
        </is>
      </c>
      <c r="C43" t="inlineStr">
        <is>
          <t>재장전 속도 +80%</t>
        </is>
      </c>
      <c r="D43" t="n">
        <v>1</v>
      </c>
      <c r="E43" t="n">
        <v>10101205</v>
      </c>
      <c r="F43">
        <f>Passive[[#This Row],[id]]</f>
        <v/>
      </c>
      <c r="G43" t="inlineStr">
        <is>
          <t>Passive</t>
        </is>
      </c>
      <c r="H43" t="inlineStr">
        <is>
          <t>Passive_Name_105</t>
        </is>
      </c>
      <c r="I43" t="inlineStr">
        <is>
          <t>Passive_Desc_105</t>
        </is>
      </c>
      <c r="J43" t="inlineStr">
        <is>
          <t>icon_skill_active_bow_06</t>
        </is>
      </c>
      <c r="M43" t="n">
        <v>10101205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t="n">
        <v>10101206</v>
      </c>
      <c r="B44" s="46" t="inlineStr">
        <is>
          <t>[전술/임시/시너지]</t>
        </is>
      </c>
      <c r="C44" t="inlineStr">
        <is>
          <t>최대 체력 +70</t>
        </is>
      </c>
      <c r="D44" t="n">
        <v>1</v>
      </c>
      <c r="E44" t="n">
        <v>10101206</v>
      </c>
      <c r="F44">
        <f>Passive[[#This Row],[id]]</f>
        <v/>
      </c>
      <c r="G44" t="inlineStr">
        <is>
          <t>Passive</t>
        </is>
      </c>
      <c r="H44" t="inlineStr">
        <is>
          <t>Passive_Name_106</t>
        </is>
      </c>
      <c r="I44" t="inlineStr">
        <is>
          <t>Passive_Desc_106</t>
        </is>
      </c>
      <c r="J44" t="inlineStr">
        <is>
          <t>icon_skill_passive_stat_15</t>
        </is>
      </c>
      <c r="M44" t="n">
        <v>10101206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</row>
    <row r="45">
      <c r="A45" t="n">
        <v>10101207</v>
      </c>
      <c r="B45" s="46" t="inlineStr">
        <is>
          <t>[전술/임시/시너지]</t>
        </is>
      </c>
      <c r="C45" t="inlineStr">
        <is>
          <t>궁극기 게이지 20% 즉시 충전</t>
        </is>
      </c>
      <c r="D45" t="n">
        <v>1</v>
      </c>
      <c r="E45" t="n">
        <v>10101207</v>
      </c>
      <c r="F45">
        <f>Passive[[#This Row],[id]]</f>
        <v/>
      </c>
      <c r="G45" t="inlineStr">
        <is>
          <t>Passive</t>
        </is>
      </c>
      <c r="H45" t="inlineStr">
        <is>
          <t>Passive_Name_107</t>
        </is>
      </c>
      <c r="I45" t="inlineStr">
        <is>
          <t>Passive_Desc_107</t>
        </is>
      </c>
      <c r="J45" t="inlineStr">
        <is>
          <t>icon_skill_passive_talent_04</t>
        </is>
      </c>
      <c r="M45" t="n">
        <v>10101207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t="n">
        <v>10101208</v>
      </c>
      <c r="B46" s="46" t="inlineStr">
        <is>
          <t>[전술/임시/시너지]</t>
        </is>
      </c>
      <c r="C46" t="inlineStr">
        <is>
          <t>스킬 쿨타임 가속 +8%</t>
        </is>
      </c>
      <c r="D46" t="n">
        <v>1</v>
      </c>
      <c r="E46" t="n">
        <v>10101208</v>
      </c>
      <c r="F46">
        <f>Passive[[#This Row],[id]]</f>
        <v/>
      </c>
      <c r="G46" t="inlineStr">
        <is>
          <t>Passive</t>
        </is>
      </c>
      <c r="H46" t="inlineStr">
        <is>
          <t>Passive_Name_109</t>
        </is>
      </c>
      <c r="I46" t="inlineStr">
        <is>
          <t>Passive_Desc_109</t>
        </is>
      </c>
      <c r="J46" t="inlineStr">
        <is>
          <t>icon_skill_passive_talent_22</t>
        </is>
      </c>
      <c r="M46" t="n">
        <v>10101208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</row>
    <row r="47" ht="17.25" customFormat="1" customHeight="1" s="36" thickBot="1">
      <c r="A47" s="36" t="n">
        <v>10101209</v>
      </c>
      <c r="B47" s="48" t="inlineStr">
        <is>
          <t>[전술/임시/시너지]</t>
        </is>
      </c>
      <c r="C47" s="36" t="inlineStr">
        <is>
          <t>받는 피해 -15%</t>
        </is>
      </c>
      <c r="D47" s="36" t="n">
        <v>1</v>
      </c>
      <c r="E47" s="36" t="n">
        <v>10101209</v>
      </c>
      <c r="F47" s="36">
        <f>Passive[[#This Row],[id]]</f>
        <v/>
      </c>
      <c r="G47" s="36" t="inlineStr">
        <is>
          <t>Passive</t>
        </is>
      </c>
      <c r="H47" s="36" t="inlineStr">
        <is>
          <t>Passive_Name_110</t>
        </is>
      </c>
      <c r="I47" s="36" t="inlineStr">
        <is>
          <t>Passive_Desc_110</t>
        </is>
      </c>
      <c r="J47" s="36" t="inlineStr">
        <is>
          <t>icon_skill_passive_stat_06</t>
        </is>
      </c>
      <c r="M47" s="36" t="n">
        <v>10101209</v>
      </c>
      <c r="N47" s="36" t="n">
        <v>1</v>
      </c>
      <c r="O47" s="36" t="n">
        <v>0</v>
      </c>
      <c r="P47" s="36" t="n">
        <v>0</v>
      </c>
      <c r="Q47" s="36" t="n">
        <v>0</v>
      </c>
      <c r="R47" s="36" t="n">
        <v>1</v>
      </c>
      <c r="S47" s="36" t="n">
        <v>0</v>
      </c>
    </row>
    <row r="48">
      <c r="A48" t="n">
        <v>100100</v>
      </c>
      <c r="B48" s="46" t="inlineStr">
        <is>
          <t>프리드웬_충격분산프레임</t>
        </is>
      </c>
      <c r="C48" t="inlineStr">
        <is>
          <t>치명적인 피해(최대 생명력의 30% 이상)를 입으면, 해당 피해의 50%를 5초에 걸쳐 나눠서 받음</t>
        </is>
      </c>
      <c r="D48" t="n">
        <v>1</v>
      </c>
      <c r="E48" t="n">
        <v>100100</v>
      </c>
      <c r="F48">
        <f>Passive[[#This Row],[id]]</f>
        <v/>
      </c>
      <c r="G48" t="inlineStr">
        <is>
          <t>Passive</t>
        </is>
      </c>
      <c r="H48" t="inlineStr">
        <is>
          <t>Passive_Name_100100</t>
        </is>
      </c>
      <c r="I48" t="inlineStr">
        <is>
          <t>Passive_Desc_100100</t>
        </is>
      </c>
      <c r="J48" t="inlineStr">
        <is>
          <t>icon_skill_passive_vanguard_01</t>
        </is>
      </c>
      <c r="M48" t="n">
        <v>100100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 ht="33" customHeight="1">
      <c r="A49" t="n">
        <v>200100</v>
      </c>
      <c r="B49" s="46" t="inlineStr">
        <is>
          <t>카야_도취감</t>
        </is>
      </c>
      <c r="C49" s="45" t="inlineStr">
        <is>
          <t>적 처치 시 탄창 회복
자신 탄환이 다른 아군 방벽 통과 시 피해량 증가</t>
        </is>
      </c>
      <c r="D49" t="n">
        <v>1</v>
      </c>
      <c r="E49" t="n">
        <v>200100</v>
      </c>
      <c r="F49">
        <f>Passive[[#This Row],[id]]</f>
        <v/>
      </c>
      <c r="G49" t="inlineStr">
        <is>
          <t>Passive</t>
        </is>
      </c>
      <c r="H49" t="inlineStr">
        <is>
          <t>Passive_Name_200100</t>
        </is>
      </c>
      <c r="I49" t="inlineStr">
        <is>
          <t>Passive_Desc_200100</t>
        </is>
      </c>
      <c r="J49" t="inlineStr">
        <is>
          <t>icon_skill_passive_striker_01</t>
        </is>
      </c>
      <c r="M49" t="n">
        <v>200100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200130</v>
      </c>
      <c r="B50" s="46" t="inlineStr">
        <is>
          <t>카야_대전차로켓</t>
        </is>
      </c>
      <c r="C50" t="inlineStr">
        <is>
          <t>도취감 장전 방지용</t>
        </is>
      </c>
      <c r="D50" t="n">
        <v>1</v>
      </c>
      <c r="E50" t="n">
        <v>200130</v>
      </c>
      <c r="F50">
        <f>Passive[[#This Row],[id]]</f>
        <v/>
      </c>
      <c r="G50" t="inlineStr">
        <is>
          <t>Passive</t>
        </is>
      </c>
      <c r="H50" t="inlineStr">
        <is>
          <t>null</t>
        </is>
      </c>
      <c r="I50" t="inlineStr">
        <is>
          <t>null</t>
        </is>
      </c>
      <c r="J50" t="inlineStr">
        <is>
          <t>icon_skill_passive_striker_03</t>
        </is>
      </c>
      <c r="M50" t="n">
        <v>200130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</row>
    <row r="51">
      <c r="A51" t="n">
        <v>300100</v>
      </c>
      <c r="B51" s="46" t="inlineStr">
        <is>
          <t>엔젤_사냥감각</t>
        </is>
      </c>
      <c r="C51" t="inlineStr">
        <is>
          <t>적 처치 시 그 적 주변의 적군에게 n 초간 위치 추적 부여</t>
        </is>
      </c>
      <c r="D51" t="n">
        <v>1</v>
      </c>
      <c r="E51" t="n">
        <v>300100</v>
      </c>
      <c r="F51">
        <f>Passive[[#This Row],[id]]</f>
        <v/>
      </c>
      <c r="G51" t="inlineStr">
        <is>
          <t>Passive</t>
        </is>
      </c>
      <c r="H51" t="inlineStr">
        <is>
          <t>Passive_Name_300100</t>
        </is>
      </c>
      <c r="I51" t="inlineStr">
        <is>
          <t>Passive_Desc_300100</t>
        </is>
      </c>
      <c r="J51" t="inlineStr">
        <is>
          <t>icon_skill_passive_agent_01</t>
        </is>
      </c>
      <c r="M51" t="n">
        <v>300100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300130</v>
      </c>
      <c r="B52" s="46" t="inlineStr">
        <is>
          <t>엔젤_지명수배</t>
        </is>
      </c>
      <c r="C52" t="inlineStr">
        <is>
          <t>아군 시야에 들어온 적 위치 추적 &amp; 자신은 적에게 위치 노출</t>
        </is>
      </c>
      <c r="D52" t="n">
        <v>1</v>
      </c>
      <c r="E52" t="n">
        <v>300130</v>
      </c>
      <c r="F52">
        <f>Passive[[#This Row],[id]]</f>
        <v/>
      </c>
      <c r="G52" t="inlineStr">
        <is>
          <t>Passive</t>
        </is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M52" t="n">
        <v>-1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</row>
    <row r="53">
      <c r="A53" t="n">
        <v>400100</v>
      </c>
      <c r="B53" s="46" t="inlineStr">
        <is>
          <t>시냅스_주파수 감지</t>
        </is>
      </c>
      <c r="C53" t="inlineStr">
        <is>
          <t>범위 내에서 스킬이나 상호작용 한 적을 n초간 추적하고 위치 공유</t>
        </is>
      </c>
      <c r="D53" t="n">
        <v>1</v>
      </c>
      <c r="E53" t="n">
        <v>400100</v>
      </c>
      <c r="F53">
        <f>Passive[[#This Row],[id]]</f>
        <v/>
      </c>
      <c r="G53" t="inlineStr">
        <is>
          <t>Passive</t>
        </is>
      </c>
      <c r="H53" t="inlineStr">
        <is>
          <t>Passive_Name_400100</t>
        </is>
      </c>
      <c r="I53" t="inlineStr">
        <is>
          <t>Passive_Desc_400100</t>
        </is>
      </c>
      <c r="J53" t="inlineStr">
        <is>
          <t>icon_skill_passive_mechanic_01</t>
        </is>
      </c>
      <c r="M53" t="n">
        <v>400100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400300</v>
      </c>
      <c r="B54" s="46" t="inlineStr">
        <is>
          <t>시냅스_방해전파장치_둔화</t>
        </is>
      </c>
      <c r="C54" t="inlineStr">
        <is>
          <t>매 0.5 초당 주변 적군에게 이속 감소 부여</t>
        </is>
      </c>
      <c r="D54" t="n">
        <v>1</v>
      </c>
      <c r="E54" t="n">
        <v>400300</v>
      </c>
      <c r="F54">
        <f>Passive[[#This Row],[id]]</f>
        <v/>
      </c>
      <c r="G54" t="inlineStr">
        <is>
          <t>Passive</t>
        </is>
      </c>
      <c r="H54" t="inlineStr">
        <is>
          <t>null</t>
        </is>
      </c>
      <c r="I54" t="inlineStr">
        <is>
          <t>null</t>
        </is>
      </c>
      <c r="J54" t="inlineStr">
        <is>
          <t>icon_skill_passive_mechanic_03</t>
        </is>
      </c>
      <c r="M54" s="49" t="n">
        <v>-1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</row>
    <row r="55">
      <c r="A55" t="n">
        <v>400400</v>
      </c>
      <c r="B55" s="46" t="inlineStr">
        <is>
          <t>시냅스_바이러스노드_폭발지연용_소환</t>
        </is>
      </c>
      <c r="C55" t="inlineStr">
        <is>
          <t>죽기 전 펄스 방출</t>
        </is>
      </c>
      <c r="D55" t="n">
        <v>1</v>
      </c>
      <c r="E55" t="n">
        <v>400400</v>
      </c>
      <c r="F55">
        <f>Passive[[#This Row],[id]]</f>
        <v/>
      </c>
      <c r="G55" t="inlineStr">
        <is>
          <t>Passive</t>
        </is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M55" t="n">
        <v>-1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</row>
    <row r="56">
      <c r="A56" t="n">
        <v>400500</v>
      </c>
      <c r="B56" s="46" t="inlineStr">
        <is>
          <t>시냅스_바이러스노드(약화)_폭발지연용_소환</t>
        </is>
      </c>
      <c r="C56" t="inlineStr">
        <is>
          <t>죽기 전 절반의 효과를 가진 펄스 방출</t>
        </is>
      </c>
      <c r="D56" t="n">
        <v>1</v>
      </c>
      <c r="E56" t="n">
        <v>400500</v>
      </c>
      <c r="F56">
        <f>Passive[[#This Row],[id]]</f>
        <v/>
      </c>
      <c r="G56" t="inlineStr">
        <is>
          <t>Passive</t>
        </is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M56" t="n">
        <v>-1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</row>
    <row r="57" ht="17.25" customFormat="1" customHeight="1" s="36" thickBot="1">
      <c r="A57" s="36" t="n">
        <v>400600</v>
      </c>
      <c r="B57" s="46" t="inlineStr">
        <is>
          <t>시냅스_방해전파장치_위치 추적 면역 및 해제</t>
        </is>
      </c>
      <c r="C57" t="inlineStr">
        <is>
          <t>주변의 아군에게 위치 추적 해제 및 면역 부여</t>
        </is>
      </c>
      <c r="D57" t="n">
        <v>1</v>
      </c>
      <c r="E57" t="n">
        <v>400600</v>
      </c>
      <c r="F57">
        <f>Passive[[#This Row],[id]]</f>
        <v/>
      </c>
      <c r="G57" t="inlineStr">
        <is>
          <t>Passive</t>
        </is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M57" s="49" t="n">
        <v>-1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t="n">
        <v>5100101</v>
      </c>
      <c r="B58" s="46" t="inlineStr">
        <is>
          <t>[전술]프리드웬_생체장 흡수</t>
        </is>
      </c>
      <c r="C58" s="60" t="inlineStr">
        <is>
          <t>돌진으로 입힌 피해 일부 흡수, 처치 관여 시 돌진 쿨다운 초기화</t>
        </is>
      </c>
      <c r="D58" t="n">
        <v>1</v>
      </c>
      <c r="E58" t="n">
        <v>5100101</v>
      </c>
      <c r="F58">
        <f>Passive[[#This Row],[id]]</f>
        <v/>
      </c>
      <c r="G58" t="inlineStr">
        <is>
          <t>Passive</t>
        </is>
      </c>
      <c r="H58" t="inlineStr">
        <is>
          <t>Passive_Name_101</t>
        </is>
      </c>
      <c r="I58" t="inlineStr">
        <is>
          <t>Passive_Desc_101</t>
        </is>
      </c>
      <c r="J58" t="inlineStr">
        <is>
          <t>icon_tacticalPassive_vanguard_01</t>
        </is>
      </c>
      <c r="M58" s="54" t="n">
        <v>101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</row>
    <row r="59">
      <c r="A59" t="n">
        <v>5100102</v>
      </c>
      <c r="B59" s="46" t="inlineStr">
        <is>
          <t>[전술]프리드웬_확산성 입자</t>
        </is>
      </c>
      <c r="C59" s="60" t="inlineStr">
        <is>
          <t>전술 방패 파괴 시 주변 아군에 보호막 부여</t>
        </is>
      </c>
      <c r="D59" t="n">
        <v>1</v>
      </c>
      <c r="E59" t="n">
        <v>5100102</v>
      </c>
      <c r="F59">
        <f>Passive[[#This Row],[id]]</f>
        <v/>
      </c>
      <c r="G59" t="inlineStr">
        <is>
          <t>Passive</t>
        </is>
      </c>
      <c r="H59" t="inlineStr">
        <is>
          <t>Passive_Name_102</t>
        </is>
      </c>
      <c r="I59" t="inlineStr">
        <is>
          <t>Passive_Desc_102</t>
        </is>
      </c>
      <c r="J59" t="inlineStr">
        <is>
          <t>icon_tacticalPassive_vanguard_02</t>
        </is>
      </c>
      <c r="M59" s="54" t="n">
        <v>102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</row>
    <row r="60">
      <c r="A60" t="n">
        <v>5100103</v>
      </c>
      <c r="B60" s="46" t="inlineStr">
        <is>
          <t>[전술]프리드웬_방호력 강화</t>
        </is>
      </c>
      <c r="C60" s="60" t="inlineStr">
        <is>
          <t>전술 방패 내구도 증가, 거점 위에서 초당 생명력 재생 증가</t>
        </is>
      </c>
      <c r="D60" t="n">
        <v>1</v>
      </c>
      <c r="E60" t="n">
        <v>5100103</v>
      </c>
      <c r="F60">
        <f>Passive[[#This Row],[id]]</f>
        <v/>
      </c>
      <c r="G60" t="inlineStr">
        <is>
          <t>Passive</t>
        </is>
      </c>
      <c r="H60" t="inlineStr">
        <is>
          <t>Passive_Name_103</t>
        </is>
      </c>
      <c r="I60" t="inlineStr">
        <is>
          <t>Passive_Desc_103</t>
        </is>
      </c>
      <c r="J60" t="inlineStr">
        <is>
          <t>icon_tacticalPassive_vanguard_03</t>
        </is>
      </c>
      <c r="M60" s="54" t="n">
        <v>103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</row>
    <row r="61">
      <c r="A61" t="n">
        <v>5100104</v>
      </c>
      <c r="B61" s="46" t="inlineStr">
        <is>
          <t>[전술]프리드웬_프로토콜: 격전지 사수</t>
        </is>
      </c>
      <c r="C61" s="60" t="inlineStr">
        <is>
          <t>받는 피해 감소, 거점 위에서 궁극기 게이지 충전</t>
        </is>
      </c>
      <c r="D61" t="n">
        <v>1</v>
      </c>
      <c r="E61" t="n">
        <v>5100104</v>
      </c>
      <c r="F61">
        <f>Passive[[#This Row],[id]]</f>
        <v/>
      </c>
      <c r="G61" t="inlineStr">
        <is>
          <t>Passive</t>
        </is>
      </c>
      <c r="H61" t="inlineStr">
        <is>
          <t>Passive_Name_104</t>
        </is>
      </c>
      <c r="I61" t="inlineStr">
        <is>
          <t>Passive_Desc_104</t>
        </is>
      </c>
      <c r="J61" t="inlineStr">
        <is>
          <t>icon_tacticalPassive_vanguard_04</t>
        </is>
      </c>
      <c r="M61" s="54" t="n">
        <v>104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</row>
    <row r="62">
      <c r="A62" t="n">
        <v>5100105</v>
      </c>
      <c r="B62" s="46" t="inlineStr">
        <is>
          <t>[전술]프리드웬_유압식 그리브</t>
        </is>
      </c>
      <c r="C62" s="60" t="inlineStr">
        <is>
          <t>돌진 속도 및 거리 증가, 돌진 사용 후 잠시 이동 속도 증가</t>
        </is>
      </c>
      <c r="D62" t="n">
        <v>1</v>
      </c>
      <c r="E62" t="n">
        <v>5100105</v>
      </c>
      <c r="F62">
        <f>Passive[[#This Row],[id]]</f>
        <v/>
      </c>
      <c r="G62" t="inlineStr">
        <is>
          <t>Passive</t>
        </is>
      </c>
      <c r="H62" t="inlineStr">
        <is>
          <t>Passive_Name_105</t>
        </is>
      </c>
      <c r="I62" t="inlineStr">
        <is>
          <t>Passive_Desc_105</t>
        </is>
      </c>
      <c r="J62" t="inlineStr">
        <is>
          <t>icon_tacticalPassive_vanguard_05</t>
        </is>
      </c>
      <c r="M62" s="54" t="n">
        <v>105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</row>
    <row r="63">
      <c r="A63" t="n">
        <v>5100106</v>
      </c>
      <c r="B63" s="46" t="inlineStr">
        <is>
          <t>[전술]프리드웬_파열성 입자</t>
        </is>
      </c>
      <c r="C63" s="60" t="inlineStr">
        <is>
          <t>전술 방패 파괴 시 잠시 자신이 주는 피해 증가</t>
        </is>
      </c>
      <c r="D63" t="n">
        <v>1</v>
      </c>
      <c r="E63" t="n">
        <v>5100106</v>
      </c>
      <c r="F63">
        <f>Passive[[#This Row],[id]]</f>
        <v/>
      </c>
      <c r="G63" t="inlineStr">
        <is>
          <t>Passive</t>
        </is>
      </c>
      <c r="H63" t="inlineStr">
        <is>
          <t>Passive_Name_106</t>
        </is>
      </c>
      <c r="I63" t="inlineStr">
        <is>
          <t>Passive_Desc_106</t>
        </is>
      </c>
      <c r="J63" t="inlineStr">
        <is>
          <t>icon_tacticalPassive_vanguard_06</t>
        </is>
      </c>
      <c r="M63" s="54" t="n">
        <v>106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</row>
    <row r="64">
      <c r="A64" t="n">
        <v>5200101</v>
      </c>
      <c r="B64" s="46" t="inlineStr">
        <is>
          <t>[전술]카야_장약 증폭</t>
        </is>
      </c>
      <c r="C64" s="60" t="inlineStr">
        <is>
          <t>주무기 피해량 증가</t>
        </is>
      </c>
      <c r="D64" t="n">
        <v>1</v>
      </c>
      <c r="E64" t="n">
        <v>5200101</v>
      </c>
      <c r="F64">
        <f>Passive[[#This Row],[id]]</f>
        <v/>
      </c>
      <c r="G64" t="inlineStr">
        <is>
          <t>Passive</t>
        </is>
      </c>
      <c r="H64" t="inlineStr">
        <is>
          <t>Passive_Name_101</t>
        </is>
      </c>
      <c r="I64" t="inlineStr">
        <is>
          <t>Passive_Desc_101</t>
        </is>
      </c>
      <c r="J64" t="inlineStr">
        <is>
          <t>icon_tacticalPassive_striker_01</t>
        </is>
      </c>
      <c r="M64" s="54" t="n">
        <v>101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</row>
    <row r="65">
      <c r="A65" t="n">
        <v>5200102</v>
      </c>
      <c r="B65" s="46" t="inlineStr">
        <is>
          <t>[전술]카야_비상 탄창</t>
        </is>
      </c>
      <c r="C65" s="60" t="inlineStr">
        <is>
          <t>전투 자극제 사용 시 잠시 무한 탄창</t>
        </is>
      </c>
      <c r="D65" t="n">
        <v>1</v>
      </c>
      <c r="E65" t="n">
        <v>5200102</v>
      </c>
      <c r="F65">
        <f>Passive[[#This Row],[id]]</f>
        <v/>
      </c>
      <c r="G65" t="inlineStr">
        <is>
          <t>Passive</t>
        </is>
      </c>
      <c r="H65" t="inlineStr">
        <is>
          <t>Passive_Name_102</t>
        </is>
      </c>
      <c r="I65" t="inlineStr">
        <is>
          <t>Passive_Desc_102</t>
        </is>
      </c>
      <c r="J65" t="inlineStr">
        <is>
          <t>icon_tacticalPassive_striker_02</t>
        </is>
      </c>
      <c r="M65" s="54" t="n">
        <v>102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</row>
    <row r="66">
      <c r="A66" t="n">
        <v>5200103</v>
      </c>
      <c r="B66" s="46" t="inlineStr">
        <is>
          <t>[전술]카야_자극제 스프레이</t>
        </is>
      </c>
      <c r="C66" s="60" t="inlineStr">
        <is>
          <t>전투 자극제가 주변 아군에게도 사격 속도 증가 효과 부여</t>
        </is>
      </c>
      <c r="D66" t="n">
        <v>1</v>
      </c>
      <c r="E66" t="n">
        <v>5200103</v>
      </c>
      <c r="F66">
        <f>Passive[[#This Row],[id]]</f>
        <v/>
      </c>
      <c r="G66" t="inlineStr">
        <is>
          <t>Passive</t>
        </is>
      </c>
      <c r="H66" t="inlineStr">
        <is>
          <t>Passive_Name_103</t>
        </is>
      </c>
      <c r="I66" t="inlineStr">
        <is>
          <t>Passive_Desc_103</t>
        </is>
      </c>
      <c r="J66" t="inlineStr">
        <is>
          <t>icon_tacticalPassive_striker_03</t>
        </is>
      </c>
      <c r="M66" s="54" t="n">
        <v>103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</row>
    <row r="67">
      <c r="A67" t="n">
        <v>5200104</v>
      </c>
      <c r="B67" s="46" t="inlineStr">
        <is>
          <t>[전술]카야_열압력탄</t>
        </is>
      </c>
      <c r="C67" s="60" t="inlineStr">
        <is>
          <t>연사에 따라 피해량 점차 증가</t>
        </is>
      </c>
      <c r="D67" t="n">
        <v>1</v>
      </c>
      <c r="E67" t="n">
        <v>5200104</v>
      </c>
      <c r="F67">
        <f>Passive[[#This Row],[id]]</f>
        <v/>
      </c>
      <c r="G67" t="inlineStr">
        <is>
          <t>Passive</t>
        </is>
      </c>
      <c r="H67" t="inlineStr">
        <is>
          <t>Passive_Name_104</t>
        </is>
      </c>
      <c r="I67" t="inlineStr">
        <is>
          <t>Passive_Desc_104</t>
        </is>
      </c>
      <c r="J67" t="inlineStr">
        <is>
          <t>icon_tacticalPassive_striker_04</t>
        </is>
      </c>
      <c r="M67" s="54" t="n">
        <v>104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</row>
    <row r="68">
      <c r="A68" t="n">
        <v>5200105</v>
      </c>
      <c r="B68" s="46" t="inlineStr">
        <is>
          <t>[전술]카야_고각도 사이트</t>
        </is>
      </c>
      <c r="C68" s="60" t="inlineStr">
        <is>
          <t>고지대에서 사격 적중 시 피해량 증가</t>
        </is>
      </c>
      <c r="D68" t="n">
        <v>1</v>
      </c>
      <c r="E68" t="n">
        <v>5200105</v>
      </c>
      <c r="F68">
        <f>Passive[[#This Row],[id]]</f>
        <v/>
      </c>
      <c r="G68" t="inlineStr">
        <is>
          <t>Passive</t>
        </is>
      </c>
      <c r="H68" t="inlineStr">
        <is>
          <t>Passive_Name_105</t>
        </is>
      </c>
      <c r="I68" t="inlineStr">
        <is>
          <t>Passive_Desc_105</t>
        </is>
      </c>
      <c r="J68" t="inlineStr">
        <is>
          <t>icon_tacticalPassive_striker_05</t>
        </is>
      </c>
      <c r="M68" s="54" t="n">
        <v>105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t="n">
        <v>5200106</v>
      </c>
      <c r="B69" s="46" t="inlineStr">
        <is>
          <t>[전술]카야_보호 기동</t>
        </is>
      </c>
      <c r="C69" s="60" t="inlineStr">
        <is>
          <t>전술 기동 쿨다운 감소, 전술 기동 사용 후 보호막 획득</t>
        </is>
      </c>
      <c r="D69" t="n">
        <v>1</v>
      </c>
      <c r="E69" t="n">
        <v>5200106</v>
      </c>
      <c r="F69">
        <f>Passive[[#This Row],[id]]</f>
        <v/>
      </c>
      <c r="G69" t="inlineStr">
        <is>
          <t>Passive</t>
        </is>
      </c>
      <c r="H69" t="inlineStr">
        <is>
          <t>Passive_Name_106</t>
        </is>
      </c>
      <c r="I69" t="inlineStr">
        <is>
          <t>Passive_Desc_106</t>
        </is>
      </c>
      <c r="J69" t="inlineStr">
        <is>
          <t>icon_tacticalPassive_striker_06</t>
        </is>
      </c>
      <c r="M69" s="54" t="n">
        <v>106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t="n">
        <v>5300101</v>
      </c>
      <c r="B70" s="46" t="inlineStr">
        <is>
          <t>[전술]엔젤_약점 노출</t>
        </is>
      </c>
      <c r="C70" s="60" t="inlineStr">
        <is>
          <t>보호막이 없는 적 공격 시 피해 증가</t>
        </is>
      </c>
      <c r="D70" t="n">
        <v>1</v>
      </c>
      <c r="E70" t="n">
        <v>5300101</v>
      </c>
      <c r="F70">
        <f>Passive[[#This Row],[id]]</f>
        <v/>
      </c>
      <c r="G70" t="inlineStr">
        <is>
          <t>Passive</t>
        </is>
      </c>
      <c r="H70" t="inlineStr">
        <is>
          <t>Passive_Name_101</t>
        </is>
      </c>
      <c r="I70" t="inlineStr">
        <is>
          <t>Passive_Desc_101</t>
        </is>
      </c>
      <c r="J70" t="inlineStr">
        <is>
          <t>icon_tacticalPassive_agent_01</t>
        </is>
      </c>
      <c r="M70" s="54" t="n">
        <v>101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</row>
    <row r="71">
      <c r="A71" t="n">
        <v>5300102</v>
      </c>
      <c r="B71" s="46" t="inlineStr">
        <is>
          <t>[전술]엔젤_부식성 폭약</t>
        </is>
      </c>
      <c r="C71" s="60" t="inlineStr">
        <is>
          <t>증거인멸로 기절시킨 대상이 받는 피해 증가</t>
        </is>
      </c>
      <c r="D71" t="n">
        <v>1</v>
      </c>
      <c r="E71" t="n">
        <v>5300102</v>
      </c>
      <c r="F71">
        <f>Passive[[#This Row],[id]]</f>
        <v/>
      </c>
      <c r="G71" t="inlineStr">
        <is>
          <t>Passive</t>
        </is>
      </c>
      <c r="H71" t="inlineStr">
        <is>
          <t>Passive_Name_102</t>
        </is>
      </c>
      <c r="I71" t="inlineStr">
        <is>
          <t>Passive_Desc_102</t>
        </is>
      </c>
      <c r="J71" t="inlineStr">
        <is>
          <t>icon_tacticalPassive_agent_02</t>
        </is>
      </c>
      <c r="M71" s="54" t="n">
        <v>102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</row>
    <row r="72">
      <c r="A72" t="n">
        <v>5300103</v>
      </c>
      <c r="B72" s="46" t="inlineStr">
        <is>
          <t>[전술]엔젤_멀웨어 감염</t>
        </is>
      </c>
      <c r="C72" s="60" t="inlineStr">
        <is>
          <t>자신이 처치한 적이 리스폰될 때 위치 추적 효과 부여</t>
        </is>
      </c>
      <c r="D72" t="n">
        <v>1</v>
      </c>
      <c r="E72" t="n">
        <v>5300103</v>
      </c>
      <c r="F72">
        <f>Passive[[#This Row],[id]]</f>
        <v/>
      </c>
      <c r="G72" t="inlineStr">
        <is>
          <t>Passive</t>
        </is>
      </c>
      <c r="H72" t="inlineStr">
        <is>
          <t>Passive_Name_103</t>
        </is>
      </c>
      <c r="I72" t="inlineStr">
        <is>
          <t>Passive_Desc_103</t>
        </is>
      </c>
      <c r="J72" t="inlineStr">
        <is>
          <t>icon_tacticalPassive_agent_03</t>
        </is>
      </c>
      <c r="M72" s="54" t="n">
        <v>103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</row>
    <row r="73">
      <c r="A73" t="n">
        <v>5300104</v>
      </c>
      <c r="B73" s="46" t="inlineStr">
        <is>
          <t>[전술]엔젤_노출 반응 장갑</t>
        </is>
      </c>
      <c r="C73" s="60" t="inlineStr">
        <is>
          <t>오프라인 암기 적중 시 보호막 획득</t>
        </is>
      </c>
      <c r="D73" t="n">
        <v>1</v>
      </c>
      <c r="E73" t="n">
        <v>5300104</v>
      </c>
      <c r="F73">
        <f>Passive[[#This Row],[id]]</f>
        <v/>
      </c>
      <c r="G73" t="inlineStr">
        <is>
          <t>Passive</t>
        </is>
      </c>
      <c r="H73" t="inlineStr">
        <is>
          <t>Passive_Name_104</t>
        </is>
      </c>
      <c r="I73" t="inlineStr">
        <is>
          <t>Passive_Desc_104</t>
        </is>
      </c>
      <c r="J73" t="inlineStr">
        <is>
          <t>icon_tacticalPassive_agent_04</t>
        </is>
      </c>
      <c r="M73" s="54" t="n">
        <v>104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</row>
    <row r="74">
      <c r="A74" t="n">
        <v>5300105</v>
      </c>
      <c r="B74" s="46" t="inlineStr">
        <is>
          <t>[전술]엔젤_스텔스 가속 회로</t>
        </is>
      </c>
      <c r="C74" s="60" t="inlineStr">
        <is>
          <t>이동 속도 증가, 오프라인 사용 시 이동 속도 추가 증가</t>
        </is>
      </c>
      <c r="D74" t="n">
        <v>1</v>
      </c>
      <c r="E74" t="n">
        <v>5300105</v>
      </c>
      <c r="F74">
        <f>Passive[[#This Row],[id]]</f>
        <v/>
      </c>
      <c r="G74" t="inlineStr">
        <is>
          <t>Passive</t>
        </is>
      </c>
      <c r="H74" t="inlineStr">
        <is>
          <t>Passive_Name_105</t>
        </is>
      </c>
      <c r="I74" t="inlineStr">
        <is>
          <t>Passive_Desc_105</t>
        </is>
      </c>
      <c r="J74" t="inlineStr">
        <is>
          <t>icon_tacticalPassive_agent_05</t>
        </is>
      </c>
      <c r="M74" s="54" t="n">
        <v>105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</row>
    <row r="75">
      <c r="A75" t="n">
        <v>5300106</v>
      </c>
      <c r="B75" s="46" t="inlineStr">
        <is>
          <t>[전술]엔젤_프로토콜: 단독 행동</t>
        </is>
      </c>
      <c r="C75" s="60" t="inlineStr">
        <is>
          <t>주변에 아군이 없을 때 주는 피해 증가</t>
        </is>
      </c>
      <c r="D75" t="n">
        <v>1</v>
      </c>
      <c r="E75" t="n">
        <v>5300106</v>
      </c>
      <c r="F75">
        <f>Passive[[#This Row],[id]]</f>
        <v/>
      </c>
      <c r="G75" t="inlineStr">
        <is>
          <t>Passive</t>
        </is>
      </c>
      <c r="H75" t="inlineStr">
        <is>
          <t>Passive_Name_106</t>
        </is>
      </c>
      <c r="I75" t="inlineStr">
        <is>
          <t>Passive_Desc_106</t>
        </is>
      </c>
      <c r="J75" t="inlineStr">
        <is>
          <t>icon_tacticalPassive_agent_06</t>
        </is>
      </c>
      <c r="M75" s="54" t="n">
        <v>106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</row>
    <row r="76">
      <c r="A76" t="n">
        <v>5400101</v>
      </c>
      <c r="B76" s="46" t="inlineStr">
        <is>
          <t>[전술]시냅스_공명 조율</t>
        </is>
      </c>
      <c r="C76" s="60" t="inlineStr">
        <is>
          <t>불확정 역장에 아군의 궁극기 게이지를 충전하는 효과 추가</t>
        </is>
      </c>
      <c r="D76" t="n">
        <v>1</v>
      </c>
      <c r="E76" t="n">
        <v>5400101</v>
      </c>
      <c r="F76">
        <f>Passive[[#This Row],[id]]</f>
        <v/>
      </c>
      <c r="G76" t="inlineStr">
        <is>
          <t>Passive</t>
        </is>
      </c>
      <c r="H76" t="inlineStr">
        <is>
          <t>Passive_Name_101</t>
        </is>
      </c>
      <c r="I76" t="inlineStr">
        <is>
          <t>Passive_Desc_101</t>
        </is>
      </c>
      <c r="J76" t="inlineStr">
        <is>
          <t>icon_tacticalPassive_mechanic_01</t>
        </is>
      </c>
      <c r="M76" s="54" t="n">
        <v>101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</row>
    <row r="77">
      <c r="A77" t="n">
        <v>5400102</v>
      </c>
      <c r="B77" s="46" t="inlineStr">
        <is>
          <t>[전술]시냅스_거부 반응</t>
        </is>
      </c>
      <c r="C77" s="60" t="inlineStr">
        <is>
          <t>불확정 역장에 적군의 받는 피해를 증가시키는 효과 추가</t>
        </is>
      </c>
      <c r="D77" t="n">
        <v>1</v>
      </c>
      <c r="E77" t="n">
        <v>5400102</v>
      </c>
      <c r="F77">
        <f>Passive[[#This Row],[id]]</f>
        <v/>
      </c>
      <c r="G77" t="inlineStr">
        <is>
          <t>Passive</t>
        </is>
      </c>
      <c r="H77" t="inlineStr">
        <is>
          <t>Passive_Name_102</t>
        </is>
      </c>
      <c r="I77" t="inlineStr">
        <is>
          <t>Passive_Desc_102</t>
        </is>
      </c>
      <c r="J77" t="inlineStr">
        <is>
          <t>icon_tacticalPassive_mechanic_02</t>
        </is>
      </c>
      <c r="M77" s="54" t="n">
        <v>102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</row>
    <row r="78">
      <c r="A78" t="n">
        <v>5400103</v>
      </c>
      <c r="B78" s="46" t="inlineStr">
        <is>
          <t>[전술]시냅스_교란 필터</t>
        </is>
      </c>
      <c r="C78" s="60" t="inlineStr">
        <is>
          <t>방해 전파 지대 주변의 아군에게 위치 추적 해제 및 면역 부여</t>
        </is>
      </c>
      <c r="D78" t="n">
        <v>1</v>
      </c>
      <c r="E78" t="n">
        <v>5400103</v>
      </c>
      <c r="F78">
        <f>Passive[[#This Row],[id]]</f>
        <v/>
      </c>
      <c r="G78" t="inlineStr">
        <is>
          <t>Passive</t>
        </is>
      </c>
      <c r="H78" t="inlineStr">
        <is>
          <t>Passive_Name_103</t>
        </is>
      </c>
      <c r="I78" t="inlineStr">
        <is>
          <t>Passive_Desc_103</t>
        </is>
      </c>
      <c r="J78" t="inlineStr">
        <is>
          <t>icon_tacticalPassive_mechanic_03</t>
        </is>
      </c>
      <c r="M78" s="54" t="n">
        <v>103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</row>
    <row r="79">
      <c r="A79" t="n">
        <v>5400104</v>
      </c>
      <c r="B79" s="46" t="inlineStr">
        <is>
          <t>[전술]시냅스_전역 스캐너</t>
        </is>
      </c>
      <c r="C79" s="60" t="inlineStr">
        <is>
          <t>라운드 시작 시 모든 적에게 위치 추적 효과 부여</t>
        </is>
      </c>
      <c r="D79" t="n">
        <v>1</v>
      </c>
      <c r="E79" t="n">
        <v>5400104</v>
      </c>
      <c r="F79">
        <f>Passive[[#This Row],[id]]</f>
        <v/>
      </c>
      <c r="G79" t="inlineStr">
        <is>
          <t>Passive</t>
        </is>
      </c>
      <c r="H79" t="inlineStr">
        <is>
          <t>Passive_Name_104</t>
        </is>
      </c>
      <c r="I79" t="inlineStr">
        <is>
          <t>Passive_Desc_104</t>
        </is>
      </c>
      <c r="J79" t="inlineStr">
        <is>
          <t>icon_tacticalPassive_mechanic_04</t>
        </is>
      </c>
      <c r="M79" s="54" t="n">
        <v>104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</row>
    <row r="80">
      <c r="A80" t="n">
        <v>5400105</v>
      </c>
      <c r="B80" s="46" t="inlineStr">
        <is>
          <t>[전술]시냅스_신경 가속</t>
        </is>
      </c>
      <c r="C80" s="60" t="inlineStr">
        <is>
          <t>이동 속도 증가, 라운드 시작 시 이 효과를 아군에게 25초간 부여</t>
        </is>
      </c>
      <c r="D80" t="n">
        <v>1</v>
      </c>
      <c r="E80" t="n">
        <v>5400105</v>
      </c>
      <c r="F80">
        <f>Passive[[#This Row],[id]]</f>
        <v/>
      </c>
      <c r="G80" t="inlineStr">
        <is>
          <t>Passive</t>
        </is>
      </c>
      <c r="H80" t="inlineStr">
        <is>
          <t>Passive_Name_105</t>
        </is>
      </c>
      <c r="I80" t="inlineStr">
        <is>
          <t>Passive_Desc_105</t>
        </is>
      </c>
      <c r="J80" t="inlineStr">
        <is>
          <t>icon_tacticalPassive_mechanic_05</t>
        </is>
      </c>
      <c r="M80" s="54" t="n">
        <v>105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</row>
    <row r="81" ht="17.25" customFormat="1" customHeight="1" s="36" thickBot="1">
      <c r="A81" s="36" t="n">
        <v>5400106</v>
      </c>
      <c r="B81" s="48" t="inlineStr">
        <is>
          <t>[전술]시냅스_임계 농도 초과</t>
        </is>
      </c>
      <c r="C81" s="61" t="inlineStr">
        <is>
          <t>보조무기의 사거리가 증가, 보조무기가 착탄 위치에서 회복 영역을 생성</t>
        </is>
      </c>
      <c r="D81" s="36" t="n">
        <v>1</v>
      </c>
      <c r="E81" s="36" t="n">
        <v>5400106</v>
      </c>
      <c r="F81">
        <f>Passive[[#This Row],[id]]</f>
        <v/>
      </c>
      <c r="G81" s="36" t="inlineStr">
        <is>
          <t>Passive</t>
        </is>
      </c>
      <c r="H81" s="36" t="inlineStr">
        <is>
          <t>Passive_Name_107</t>
        </is>
      </c>
      <c r="I81" s="36" t="inlineStr">
        <is>
          <t>Passive_Desc_107</t>
        </is>
      </c>
      <c r="J81" s="36" t="inlineStr">
        <is>
          <t>icon_tacticalPassive_mechanic_07</t>
        </is>
      </c>
      <c r="M81" s="55" t="n">
        <v>106</v>
      </c>
      <c r="N81" s="36" t="n">
        <v>1</v>
      </c>
      <c r="O81" s="36" t="n">
        <v>0</v>
      </c>
      <c r="P81" s="36" t="n">
        <v>1</v>
      </c>
      <c r="Q81" s="36" t="n">
        <v>1</v>
      </c>
      <c r="R81" s="36" t="n">
        <v>1</v>
      </c>
      <c r="S81" s="36" t="n">
        <v>0</v>
      </c>
    </row>
    <row r="82">
      <c r="A82" t="n">
        <v>6010101</v>
      </c>
      <c r="B82" s="46" t="inlineStr">
        <is>
          <t>[강화]주인공 보정</t>
        </is>
      </c>
      <c r="C82" t="inlineStr">
        <is>
          <t>기본 무기 탄창 무한. 보호막 대폭 증가. 지속 시간 20초</t>
        </is>
      </c>
      <c r="D82" t="n">
        <v>1</v>
      </c>
      <c r="E82" t="n">
        <v>6010101</v>
      </c>
      <c r="F82">
        <f>Passive[[#This Row],[id]]</f>
        <v/>
      </c>
      <c r="G82" t="inlineStr">
        <is>
          <t>Passive</t>
        </is>
      </c>
      <c r="H82">
        <f>"Passive_Name_"&amp;Passive[[#This Row],[id]]</f>
        <v/>
      </c>
      <c r="I82">
        <f>"Passive_Desc_"&amp;Passive[[#This Row],[id]]</f>
        <v/>
      </c>
      <c r="J82" s="54" t="inlineStr">
        <is>
          <t>icon_tacticalPassive_agent_01</t>
        </is>
      </c>
      <c r="M82" t="n">
        <v>-1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</row>
    <row r="83">
      <c r="A83" t="n">
        <v>6010102</v>
      </c>
      <c r="B83" s="46" t="inlineStr">
        <is>
          <t>[강화]얼티밋 유나이트</t>
        </is>
      </c>
      <c r="C83" t="inlineStr">
        <is>
          <t>즉시 궁극기 충전. 궁극기를 더 자주 사용 가능. 지속 시간 35초</t>
        </is>
      </c>
      <c r="D83" t="n">
        <v>1</v>
      </c>
      <c r="E83" t="n">
        <v>6010102</v>
      </c>
      <c r="F83">
        <f>Passive[[#This Row],[id]]</f>
        <v/>
      </c>
      <c r="G83" t="inlineStr">
        <is>
          <t>Passive</t>
        </is>
      </c>
      <c r="H83">
        <f>"Passive_Name_"&amp;Passive[[#This Row],[id]]</f>
        <v/>
      </c>
      <c r="I83">
        <f>"Passive_Desc_"&amp;Passive[[#This Row],[id]]</f>
        <v/>
      </c>
      <c r="J83" s="54" t="inlineStr">
        <is>
          <t>icon_tacticalPassive_agent_02</t>
        </is>
      </c>
      <c r="M83" t="n">
        <v>-1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</row>
    <row r="84">
      <c r="A84" t="n">
        <v>6010103</v>
      </c>
      <c r="B84" s="46" t="inlineStr">
        <is>
          <t>[강화]시간 가속 장치</t>
        </is>
      </c>
      <c r="C84" t="inlineStr">
        <is>
          <t>스킬 쿨타임이 대폭 감소. 스킬로 주는 피해량이 증가.</t>
        </is>
      </c>
      <c r="D84" t="n">
        <v>1</v>
      </c>
      <c r="E84" t="n">
        <v>6010103</v>
      </c>
      <c r="F84">
        <f>Passive[[#This Row],[id]]</f>
        <v/>
      </c>
      <c r="G84" t="inlineStr">
        <is>
          <t>Passive</t>
        </is>
      </c>
      <c r="H84">
        <f>"Passive_Name_"&amp;Passive[[#This Row],[id]]</f>
        <v/>
      </c>
      <c r="I84">
        <f>"Passive_Desc_"&amp;Passive[[#This Row],[id]]</f>
        <v/>
      </c>
      <c r="J84" s="54" t="inlineStr">
        <is>
          <t>icon_tacticalPassive_agent_03</t>
        </is>
      </c>
      <c r="M84" t="n">
        <v>-1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</row>
    <row r="85">
      <c r="A85" t="n">
        <v>6010104</v>
      </c>
      <c r="B85" s="46" t="inlineStr">
        <is>
          <t>[강화]고철 더미의 투혼</t>
        </is>
      </c>
      <c r="C85" t="inlineStr">
        <is>
          <t>최대 생명력 증가. 거점 위에 있으면 내구력이 대폭 증가</t>
        </is>
      </c>
      <c r="D85" t="n">
        <v>1</v>
      </c>
      <c r="E85" t="n">
        <v>6010104</v>
      </c>
      <c r="F85">
        <f>Passive[[#This Row],[id]]</f>
        <v/>
      </c>
      <c r="G85" t="inlineStr">
        <is>
          <t>Passive</t>
        </is>
      </c>
      <c r="H85">
        <f>"Passive_Name_"&amp;Passive[[#This Row],[id]]</f>
        <v/>
      </c>
      <c r="I85">
        <f>"Passive_Desc_"&amp;Passive[[#This Row],[id]]</f>
        <v/>
      </c>
      <c r="J85" s="54" t="inlineStr">
        <is>
          <t>icon_tacticalPassive_agent_04</t>
        </is>
      </c>
      <c r="M85" t="n">
        <v>-1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</row>
    <row r="86">
      <c r="A86" t="n">
        <v>6010105</v>
      </c>
      <c r="B86" s="46" t="inlineStr">
        <is>
          <t>[강화]반자성체 총알</t>
        </is>
      </c>
      <c r="C86" t="inlineStr">
        <is>
          <t>보호막 피해 배율 대폭 증가. 탄퍼짐 대폭 감소. 사격 거리에 의한 패널티 삭제.</t>
        </is>
      </c>
      <c r="D86" t="n">
        <v>1</v>
      </c>
      <c r="E86" t="n">
        <v>6010105</v>
      </c>
      <c r="F86">
        <f>Passive[[#This Row],[id]]</f>
        <v/>
      </c>
      <c r="G86" t="inlineStr">
        <is>
          <t>Passive</t>
        </is>
      </c>
      <c r="H86">
        <f>"Passive_Name_"&amp;Passive[[#This Row],[id]]</f>
        <v/>
      </c>
      <c r="I86">
        <f>"Passive_Desc_"&amp;Passive[[#This Row],[id]]</f>
        <v/>
      </c>
      <c r="J86" s="54" t="inlineStr">
        <is>
          <t>icon_tacticalPassive_agent_05</t>
        </is>
      </c>
      <c r="M86" t="n">
        <v>-1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</row>
    <row r="87">
      <c r="A87" t="n">
        <v>6010106</v>
      </c>
      <c r="B87" s="46" t="inlineStr">
        <is>
          <t>[강화]멀티 에이전트 시스템</t>
        </is>
      </c>
      <c r="C87" t="inlineStr">
        <is>
          <t>6초 마다 자신과 주변 아군에게 보호막 부여 및 생명력 회복</t>
        </is>
      </c>
      <c r="D87" t="n">
        <v>1</v>
      </c>
      <c r="E87" t="n">
        <v>6010106</v>
      </c>
      <c r="F87">
        <f>Passive[[#This Row],[id]]</f>
        <v/>
      </c>
      <c r="G87" t="inlineStr">
        <is>
          <t>Passive</t>
        </is>
      </c>
      <c r="H87">
        <f>"Passive_Name_"&amp;Passive[[#This Row],[id]]</f>
        <v/>
      </c>
      <c r="I87">
        <f>"Passive_Desc_"&amp;Passive[[#This Row],[id]]</f>
        <v/>
      </c>
      <c r="J87" s="54" t="inlineStr">
        <is>
          <t>icon_tacticalPassive_agent_06</t>
        </is>
      </c>
      <c r="M87" t="n">
        <v>-1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</row>
    <row r="88">
      <c r="A88" t="n">
        <v>6010107</v>
      </c>
      <c r="B88" s="46" t="inlineStr">
        <is>
          <t>[강화]롱 점프 부츠</t>
        </is>
      </c>
      <c r="C88" t="inlineStr">
        <is>
          <t>이동속도 증가. 점프 시 보다 먼 거리 도약</t>
        </is>
      </c>
      <c r="D88" t="n">
        <v>1</v>
      </c>
      <c r="E88" t="n">
        <v>6010107</v>
      </c>
      <c r="F88">
        <f>Passive[[#This Row],[id]]</f>
        <v/>
      </c>
      <c r="G88" t="inlineStr">
        <is>
          <t>Passive</t>
        </is>
      </c>
      <c r="H88">
        <f>"Passive_Name_"&amp;Passive[[#This Row],[id]]</f>
        <v/>
      </c>
      <c r="I88">
        <f>"Passive_Desc_"&amp;Passive[[#This Row],[id]]</f>
        <v/>
      </c>
      <c r="J88" s="54" t="inlineStr">
        <is>
          <t>icon_tacticalPassive_agent_07</t>
        </is>
      </c>
      <c r="M88" t="n">
        <v>-1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</row>
    <row r="89">
      <c r="A89" s="64" t="inlineStr">
        <is>
          <t>500100</t>
        </is>
      </c>
      <c r="B89" s="64" t="inlineStr">
        <is>
          <t>이두형_도취감</t>
        </is>
      </c>
      <c r="C89" s="64" t="inlineStr">
        <is>
          <t>적 처치 시 탄창 회복
자신 탄환이 다른 아군 방벽 통과 시 피해량 증가</t>
        </is>
      </c>
      <c r="D89" s="64" t="inlineStr">
        <is>
          <t>1</t>
        </is>
      </c>
      <c r="E89" s="64" t="inlineStr">
        <is>
          <t>500100</t>
        </is>
      </c>
      <c r="F89" s="64" t="inlineStr">
        <is>
          <t>500100</t>
        </is>
      </c>
      <c r="G89" s="64" t="inlineStr">
        <is>
          <t>Passive</t>
        </is>
      </c>
      <c r="H89" s="64" t="inlineStr">
        <is>
          <t>Passive_Name_500100</t>
        </is>
      </c>
      <c r="I89" s="64" t="inlineStr">
        <is>
          <t>Passive_Desc_500100</t>
        </is>
      </c>
      <c r="J89" s="64" t="inlineStr">
        <is>
          <t>icon_skill_passive_striker_01</t>
        </is>
      </c>
      <c r="K89" s="64" t="inlineStr"/>
      <c r="L89" s="64" t="inlineStr"/>
      <c r="M89" s="64" t="inlineStr">
        <is>
          <t>500100</t>
        </is>
      </c>
      <c r="N89" s="64" t="inlineStr">
        <is>
          <t>0</t>
        </is>
      </c>
      <c r="O89" s="64" t="inlineStr">
        <is>
          <t>0</t>
        </is>
      </c>
      <c r="P89" s="64" t="inlineStr">
        <is>
          <t>0</t>
        </is>
      </c>
      <c r="Q89" s="64" t="inlineStr">
        <is>
          <t>0</t>
        </is>
      </c>
      <c r="R89" s="64" t="inlineStr">
        <is>
          <t>0</t>
        </is>
      </c>
      <c r="S89" s="64" t="inlineStr">
        <is>
          <t>0</t>
        </is>
      </c>
    </row>
    <row r="90">
      <c r="A90" s="64" t="inlineStr">
        <is>
          <t>500130</t>
        </is>
      </c>
      <c r="B90" s="64" t="inlineStr">
        <is>
          <t>이두형_대전차로켓</t>
        </is>
      </c>
      <c r="C90" s="64" t="inlineStr">
        <is>
          <t>도취감 장전 방지용</t>
        </is>
      </c>
      <c r="D90" s="64" t="inlineStr">
        <is>
          <t>1</t>
        </is>
      </c>
      <c r="E90" s="64" t="inlineStr">
        <is>
          <t>500130</t>
        </is>
      </c>
      <c r="F90" s="64" t="inlineStr">
        <is>
          <t>500130</t>
        </is>
      </c>
      <c r="G90" s="64" t="inlineStr">
        <is>
          <t>Passive</t>
        </is>
      </c>
      <c r="H90" s="64" t="inlineStr">
        <is>
          <t>null</t>
        </is>
      </c>
      <c r="I90" s="64" t="inlineStr">
        <is>
          <t>null</t>
        </is>
      </c>
      <c r="J90" s="64" t="inlineStr">
        <is>
          <t>icon_skill_passive_striker_03</t>
        </is>
      </c>
      <c r="K90" s="64" t="inlineStr"/>
      <c r="L90" s="64" t="inlineStr"/>
      <c r="M90" s="64" t="inlineStr">
        <is>
          <t>500130</t>
        </is>
      </c>
      <c r="N90" s="64" t="inlineStr">
        <is>
          <t>0</t>
        </is>
      </c>
      <c r="O90" s="64" t="inlineStr">
        <is>
          <t>1</t>
        </is>
      </c>
      <c r="P90" s="64" t="inlineStr">
        <is>
          <t>1</t>
        </is>
      </c>
      <c r="Q90" s="64" t="inlineStr">
        <is>
          <t>1</t>
        </is>
      </c>
      <c r="R90" s="64" t="inlineStr">
        <is>
          <t>1</t>
        </is>
      </c>
      <c r="S90" s="64" t="inlineStr">
        <is>
          <t>0</t>
        </is>
      </c>
    </row>
  </sheetData>
  <mergeCells count="1">
    <mergeCell ref="K1:L1"/>
  </mergeCells>
  <conditionalFormatting sqref="A1:A1048576">
    <cfRule type="duplicateValues" priority="4" dxfId="2"/>
  </conditionalFormatting>
  <conditionalFormatting sqref="E1:E1048576">
    <cfRule type="duplicateValues" priority="9" dxfId="0"/>
  </conditionalFormatting>
  <conditionalFormatting sqref="F3:F88">
    <cfRule type="duplicateValues" priority="65" dxfId="0"/>
  </conditionalFormatting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zoomScale="85" zoomScaleNormal="85" workbookViewId="0">
      <pane xSplit="4" ySplit="2" topLeftCell="L40" activePane="bottomRight" state="frozen"/>
      <selection pane="topRight" activeCell="E1" sqref="E1"/>
      <selection pane="bottomLeft" activeCell="A3" sqref="A3"/>
      <selection pane="bottomRight" activeCell="O66" sqref="O66"/>
    </sheetView>
  </sheetViews>
  <sheetFormatPr baseColWidth="8" defaultRowHeight="16.5"/>
  <cols>
    <col width="11" bestFit="1" customWidth="1" min="1" max="1"/>
    <col width="11.75" customWidth="1" min="2" max="2"/>
    <col width="32" bestFit="1" customWidth="1" style="24" min="3" max="3"/>
    <col width="59.625" customWidth="1" min="4" max="4"/>
    <col width="20.125" bestFit="1" customWidth="1" min="5" max="5"/>
    <col width="23.25" bestFit="1" customWidth="1" min="6" max="6"/>
    <col width="24.625" customWidth="1" min="7" max="8"/>
    <col width="19" bestFit="1" customWidth="1" min="9" max="9"/>
    <col width="17.625" bestFit="1" customWidth="1" style="41" min="10" max="10"/>
    <col width="17.125" bestFit="1" customWidth="1" min="11" max="11"/>
    <col width="21.25" bestFit="1" customWidth="1" style="41" min="12" max="12"/>
    <col width="22.75" bestFit="1" customWidth="1" min="13" max="14"/>
    <col width="20.75" bestFit="1" customWidth="1" min="15" max="15"/>
    <col width="22.25" bestFit="1" customWidth="1" min="16" max="17"/>
  </cols>
  <sheetData>
    <row r="1">
      <c r="A1" t="inlineStr">
        <is>
          <t>DataGroup</t>
        </is>
      </c>
      <c r="B1" t="inlineStr">
        <is>
          <t>PassiveProperty</t>
        </is>
      </c>
      <c r="G1" t="inlineStr">
        <is>
          <t>-1: 제한없음</t>
        </is>
      </c>
      <c r="H1" t="inlineStr">
        <is>
          <t>-1: 제한없음</t>
        </is>
      </c>
    </row>
    <row r="2">
      <c r="A2" t="inlineStr">
        <is>
          <t>id</t>
        </is>
      </c>
      <c r="B2" t="inlineStr">
        <is>
          <t>property_id</t>
        </is>
      </c>
      <c r="C2" s="25" t="inlineStr">
        <is>
          <t>#effect_group</t>
        </is>
      </c>
      <c r="D2" s="1" t="inlineStr">
        <is>
          <t>#effect_memo</t>
        </is>
      </c>
      <c r="E2" t="inlineStr">
        <is>
          <t>passive_start_cool</t>
        </is>
      </c>
      <c r="F2" t="inlineStr">
        <is>
          <t>passive_activate_cool</t>
        </is>
      </c>
      <c r="G2" s="43" t="inlineStr">
        <is>
          <t>passive_round_limit</t>
        </is>
      </c>
      <c r="H2" s="43" t="inlineStr">
        <is>
          <t>passive_spawn_limit</t>
        </is>
      </c>
      <c r="I2" t="inlineStr">
        <is>
          <t>passive_effect_id</t>
        </is>
      </c>
      <c r="J2" s="44" t="inlineStr">
        <is>
          <t>required_mark</t>
        </is>
      </c>
      <c r="K2" s="43" t="inlineStr">
        <is>
          <t>blocked_mark</t>
        </is>
      </c>
      <c r="L2" s="41" t="inlineStr">
        <is>
          <t>run_condition_type</t>
        </is>
      </c>
      <c r="M2" t="inlineStr">
        <is>
          <t>run_condtion_value1</t>
        </is>
      </c>
      <c r="N2" t="inlineStr">
        <is>
          <t>run_condtion_value2</t>
        </is>
      </c>
      <c r="O2" t="inlineStr">
        <is>
          <t>kill_condition_type</t>
        </is>
      </c>
      <c r="P2" t="inlineStr">
        <is>
          <t>kill_condtion_value1</t>
        </is>
      </c>
      <c r="Q2" t="inlineStr">
        <is>
          <t>kill_condtion_value2</t>
        </is>
      </c>
    </row>
    <row r="3">
      <c r="A3" t="n">
        <v>101</v>
      </c>
      <c r="B3" t="n">
        <v>1</v>
      </c>
      <c r="C3" s="24">
        <f>_xlfn.XLOOKUP(PassiveProperty[[#This Row],[id]],Passive[passive_property_id],Passive['#effect_group],"__",0)</f>
        <v/>
      </c>
      <c r="D3">
        <f>_xlfn.XLOOKUP(PassiveProperty[[#This Row],[id]],Passive[id],Passive['#effect_memo],"__",0)</f>
        <v/>
      </c>
      <c r="E3" t="n">
        <v>0</v>
      </c>
      <c r="F3" t="n">
        <v>0</v>
      </c>
      <c r="I3" s="26">
        <f>PassiveProperty[[#This Row],[id]]*10+PassiveProperty[[#This Row],[property_id]]</f>
        <v/>
      </c>
      <c r="K3" s="51" t="n"/>
      <c r="L3" s="41" t="inlineStr">
        <is>
          <t>Always</t>
        </is>
      </c>
      <c r="M3" t="n">
        <v>-1</v>
      </c>
      <c r="N3" t="n">
        <v>-1</v>
      </c>
      <c r="O3" t="inlineStr">
        <is>
          <t>None</t>
        </is>
      </c>
      <c r="P3" t="n">
        <v>-1</v>
      </c>
      <c r="Q3" t="n">
        <v>-1</v>
      </c>
    </row>
    <row r="4">
      <c r="A4" t="n">
        <v>102</v>
      </c>
      <c r="B4" t="n">
        <v>1</v>
      </c>
      <c r="C4" s="24">
        <f>_xlfn.XLOOKUP(PassiveProperty[[#This Row],[id]],Passive[passive_property_id],Passive['#effect_group],"__",0)</f>
        <v/>
      </c>
      <c r="D4">
        <f>_xlfn.XLOOKUP(PassiveProperty[[#This Row],[id]],Passive[id],Passive['#effect_memo],"__",0)</f>
        <v/>
      </c>
      <c r="E4" t="n">
        <v>0</v>
      </c>
      <c r="F4" t="n">
        <v>0</v>
      </c>
      <c r="I4" s="26">
        <f>PassiveProperty[[#This Row],[id]]*10+PassiveProperty[[#This Row],[property_id]]</f>
        <v/>
      </c>
      <c r="K4" s="51" t="n"/>
      <c r="L4" s="41" t="inlineStr">
        <is>
          <t>Always</t>
        </is>
      </c>
      <c r="M4" t="n">
        <v>-1</v>
      </c>
      <c r="N4" t="n">
        <v>-1</v>
      </c>
      <c r="O4" t="inlineStr">
        <is>
          <t>None</t>
        </is>
      </c>
      <c r="P4" t="n">
        <v>-1</v>
      </c>
      <c r="Q4" t="n">
        <v>-1</v>
      </c>
    </row>
    <row r="5">
      <c r="A5" t="n">
        <v>103</v>
      </c>
      <c r="B5" t="n">
        <v>1</v>
      </c>
      <c r="C5" s="24">
        <f>_xlfn.XLOOKUP(PassiveProperty[[#This Row],[id]],Passive[passive_property_id],Passive['#effect_group],"__",0)</f>
        <v/>
      </c>
      <c r="D5">
        <f>_xlfn.XLOOKUP(PassiveProperty[[#This Row],[id]],Passive[id],Passive['#effect_memo],"__",0)</f>
        <v/>
      </c>
      <c r="E5" t="n">
        <v>0</v>
      </c>
      <c r="F5" t="n">
        <v>0</v>
      </c>
      <c r="I5" s="26">
        <f>PassiveProperty[[#This Row],[id]]*10+PassiveProperty[[#This Row],[property_id]]</f>
        <v/>
      </c>
      <c r="K5" s="51" t="n"/>
      <c r="L5" s="41" t="inlineStr">
        <is>
          <t>Always</t>
        </is>
      </c>
      <c r="M5" t="n">
        <v>-1</v>
      </c>
      <c r="N5" t="n">
        <v>-1</v>
      </c>
      <c r="O5" t="inlineStr">
        <is>
          <t>None</t>
        </is>
      </c>
      <c r="P5" t="n">
        <v>-1</v>
      </c>
      <c r="Q5" t="n">
        <v>-1</v>
      </c>
    </row>
    <row r="6">
      <c r="A6" t="n">
        <v>104</v>
      </c>
      <c r="B6" t="n">
        <v>1</v>
      </c>
      <c r="C6" s="24">
        <f>_xlfn.XLOOKUP(PassiveProperty[[#This Row],[id]],Passive[passive_property_id],Passive['#effect_group],"__",0)</f>
        <v/>
      </c>
      <c r="D6">
        <f>_xlfn.XLOOKUP(PassiveProperty[[#This Row],[id]],Passive[id],Passive['#effect_memo],"__",0)</f>
        <v/>
      </c>
      <c r="E6" t="n">
        <v>0</v>
      </c>
      <c r="F6" t="n">
        <v>0</v>
      </c>
      <c r="I6" s="26">
        <f>PassiveProperty[[#This Row],[id]]*10+PassiveProperty[[#This Row],[property_id]]</f>
        <v/>
      </c>
      <c r="K6" s="51" t="n"/>
      <c r="L6" s="41" t="inlineStr">
        <is>
          <t>Always</t>
        </is>
      </c>
      <c r="M6" t="n">
        <v>-1</v>
      </c>
      <c r="N6" t="n">
        <v>-1</v>
      </c>
      <c r="O6" t="inlineStr">
        <is>
          <t>None</t>
        </is>
      </c>
      <c r="P6" t="n">
        <v>-1</v>
      </c>
      <c r="Q6" t="n">
        <v>-1</v>
      </c>
    </row>
    <row r="7">
      <c r="A7" t="n">
        <v>105</v>
      </c>
      <c r="B7" t="n">
        <v>1</v>
      </c>
      <c r="C7" s="24">
        <f>_xlfn.XLOOKUP(PassiveProperty[[#This Row],[id]],Passive[passive_property_id],Passive['#effect_group],"__",0)</f>
        <v/>
      </c>
      <c r="D7">
        <f>_xlfn.XLOOKUP(PassiveProperty[[#This Row],[id]],Passive[id],Passive['#effect_memo],"__",0)</f>
        <v/>
      </c>
      <c r="E7" t="n">
        <v>0</v>
      </c>
      <c r="F7" t="n">
        <v>0</v>
      </c>
      <c r="I7" s="26">
        <f>PassiveProperty[[#This Row],[id]]*10+PassiveProperty[[#This Row],[property_id]]</f>
        <v/>
      </c>
      <c r="K7" s="51" t="n"/>
      <c r="L7" s="41" t="inlineStr">
        <is>
          <t>Always</t>
        </is>
      </c>
      <c r="M7" t="n">
        <v>-1</v>
      </c>
      <c r="N7" t="n">
        <v>-1</v>
      </c>
      <c r="O7" t="inlineStr">
        <is>
          <t>None</t>
        </is>
      </c>
      <c r="P7" t="n">
        <v>-1</v>
      </c>
      <c r="Q7" t="n">
        <v>-1</v>
      </c>
    </row>
    <row r="8">
      <c r="A8" t="n">
        <v>106</v>
      </c>
      <c r="B8" t="n">
        <v>1</v>
      </c>
      <c r="C8" s="24">
        <f>_xlfn.XLOOKUP(PassiveProperty[[#This Row],[id]],Passive[passive_property_id],Passive['#effect_group],"__",0)</f>
        <v/>
      </c>
      <c r="D8">
        <f>_xlfn.XLOOKUP(PassiveProperty[[#This Row],[id]],Passive[id],Passive['#effect_memo],"__",0)</f>
        <v/>
      </c>
      <c r="E8" t="n">
        <v>0</v>
      </c>
      <c r="F8" t="n">
        <v>0</v>
      </c>
      <c r="I8" s="26">
        <f>PassiveProperty[[#This Row],[id]]*10+PassiveProperty[[#This Row],[property_id]]</f>
        <v/>
      </c>
      <c r="K8" s="51" t="n"/>
      <c r="L8" s="41" t="inlineStr">
        <is>
          <t>Always</t>
        </is>
      </c>
      <c r="M8" t="n">
        <v>-1</v>
      </c>
      <c r="N8" t="n">
        <v>-1</v>
      </c>
      <c r="O8" t="inlineStr">
        <is>
          <t>None</t>
        </is>
      </c>
      <c r="P8" t="n">
        <v>-1</v>
      </c>
      <c r="Q8" t="n">
        <v>-1</v>
      </c>
    </row>
    <row r="9">
      <c r="A9" t="n">
        <v>107</v>
      </c>
      <c r="B9" t="n">
        <v>1</v>
      </c>
      <c r="C9" s="24">
        <f>_xlfn.XLOOKUP(PassiveProperty[[#This Row],[id]],Passive[passive_property_id],Passive['#effect_group],"__",0)</f>
        <v/>
      </c>
      <c r="D9">
        <f>_xlfn.XLOOKUP(PassiveProperty[[#This Row],[id]],Passive[id],Passive['#effect_memo],"__",0)</f>
        <v/>
      </c>
      <c r="E9" t="n">
        <v>0</v>
      </c>
      <c r="F9" t="n">
        <v>0</v>
      </c>
      <c r="I9" s="26">
        <f>PassiveProperty[[#This Row],[id]]*10+PassiveProperty[[#This Row],[property_id]]</f>
        <v/>
      </c>
      <c r="K9" s="51" t="n"/>
      <c r="L9" s="41" t="inlineStr">
        <is>
          <t>Always</t>
        </is>
      </c>
      <c r="M9" t="n">
        <v>-1</v>
      </c>
      <c r="N9" t="n">
        <v>-1</v>
      </c>
      <c r="O9" t="inlineStr">
        <is>
          <t>None</t>
        </is>
      </c>
      <c r="P9" t="n">
        <v>-1</v>
      </c>
      <c r="Q9" t="n">
        <v>-1</v>
      </c>
    </row>
    <row r="10">
      <c r="A10" t="n">
        <v>108</v>
      </c>
      <c r="B10" t="n">
        <v>1</v>
      </c>
      <c r="C10" s="24">
        <f>_xlfn.XLOOKUP(PassiveProperty[[#This Row],[id]],Passive[passive_property_id],Passive['#effect_group],"__",0)</f>
        <v/>
      </c>
      <c r="D10">
        <f>_xlfn.XLOOKUP(PassiveProperty[[#This Row],[id]],Passive[id],Passive['#effect_memo],"__",0)</f>
        <v/>
      </c>
      <c r="E10" t="n">
        <v>0</v>
      </c>
      <c r="F10" t="n">
        <v>0</v>
      </c>
      <c r="I10" s="26">
        <f>PassiveProperty[[#This Row],[id]]*10+PassiveProperty[[#This Row],[property_id]]</f>
        <v/>
      </c>
      <c r="K10" s="51" t="n"/>
      <c r="L10" s="41" t="inlineStr">
        <is>
          <t>Always</t>
        </is>
      </c>
      <c r="M10" t="n">
        <v>-1</v>
      </c>
      <c r="N10" t="n">
        <v>-1</v>
      </c>
      <c r="O10" t="inlineStr">
        <is>
          <t>None</t>
        </is>
      </c>
      <c r="P10" t="n">
        <v>-1</v>
      </c>
      <c r="Q10" t="n">
        <v>-1</v>
      </c>
    </row>
    <row r="11">
      <c r="A11" t="n">
        <v>109</v>
      </c>
      <c r="B11" t="n">
        <v>1</v>
      </c>
      <c r="C11" s="24">
        <f>_xlfn.XLOOKUP(PassiveProperty[[#This Row],[id]],Passive[passive_property_id],Passive['#effect_group],"__",0)</f>
        <v/>
      </c>
      <c r="D11">
        <f>_xlfn.XLOOKUP(PassiveProperty[[#This Row],[id]],Passive[id],Passive['#effect_memo],"__",0)</f>
        <v/>
      </c>
      <c r="E11" t="n">
        <v>0</v>
      </c>
      <c r="F11" t="n">
        <v>0</v>
      </c>
      <c r="I11" s="26">
        <f>PassiveProperty[[#This Row],[id]]*10+PassiveProperty[[#This Row],[property_id]]</f>
        <v/>
      </c>
      <c r="K11" s="51" t="n"/>
      <c r="L11" s="41" t="inlineStr">
        <is>
          <t>Always</t>
        </is>
      </c>
      <c r="M11" t="n">
        <v>-1</v>
      </c>
      <c r="N11" t="n">
        <v>-1</v>
      </c>
      <c r="O11" t="inlineStr">
        <is>
          <t>None</t>
        </is>
      </c>
      <c r="P11" t="n">
        <v>-1</v>
      </c>
      <c r="Q11" t="n">
        <v>-1</v>
      </c>
    </row>
    <row r="12">
      <c r="A12" t="n">
        <v>201</v>
      </c>
      <c r="B12" t="n">
        <v>1</v>
      </c>
      <c r="C12" s="24">
        <f>_xlfn.XLOOKUP(PassiveProperty[[#This Row],[id]],Passive[passive_property_id],Passive['#effect_group],"__",0)</f>
        <v/>
      </c>
      <c r="D12">
        <f>_xlfn.XLOOKUP(PassiveProperty[[#This Row],[id]],Passive[id],Passive['#effect_memo],"__",0)</f>
        <v/>
      </c>
      <c r="E12" t="n">
        <v>0</v>
      </c>
      <c r="F12" t="n">
        <v>0</v>
      </c>
      <c r="I12" s="26">
        <f>PassiveProperty[[#This Row],[id]]*10+PassiveProperty[[#This Row],[property_id]]</f>
        <v/>
      </c>
      <c r="K12" s="51" t="n"/>
      <c r="L12" s="41" t="inlineStr">
        <is>
          <t>Always</t>
        </is>
      </c>
      <c r="M12" t="n">
        <v>-1</v>
      </c>
      <c r="N12" t="n">
        <v>-1</v>
      </c>
      <c r="O12" t="inlineStr">
        <is>
          <t>None</t>
        </is>
      </c>
      <c r="P12" t="n">
        <v>-1</v>
      </c>
      <c r="Q12" t="n">
        <v>-1</v>
      </c>
    </row>
    <row r="13">
      <c r="A13" t="n">
        <v>202</v>
      </c>
      <c r="B13" t="n">
        <v>1</v>
      </c>
      <c r="C13" s="24">
        <f>_xlfn.XLOOKUP(PassiveProperty[[#This Row],[id]],Passive[passive_property_id],Passive['#effect_group],"__",0)</f>
        <v/>
      </c>
      <c r="D13">
        <f>_xlfn.XLOOKUP(PassiveProperty[[#This Row],[id]],Passive[id],Passive['#effect_memo],"__",0)</f>
        <v/>
      </c>
      <c r="E13" t="n">
        <v>0</v>
      </c>
      <c r="F13" t="n">
        <v>0</v>
      </c>
      <c r="I13" s="26">
        <f>PassiveProperty[[#This Row],[id]]*10+PassiveProperty[[#This Row],[property_id]]</f>
        <v/>
      </c>
      <c r="K13" s="51" t="n"/>
      <c r="L13" s="41" t="inlineStr">
        <is>
          <t>Always</t>
        </is>
      </c>
      <c r="M13" t="n">
        <v>-1</v>
      </c>
      <c r="N13" t="n">
        <v>-1</v>
      </c>
      <c r="O13" t="inlineStr">
        <is>
          <t>None</t>
        </is>
      </c>
      <c r="P13" t="n">
        <v>-1</v>
      </c>
      <c r="Q13" t="n">
        <v>-1</v>
      </c>
    </row>
    <row r="14">
      <c r="A14" t="n">
        <v>203</v>
      </c>
      <c r="B14" t="n">
        <v>1</v>
      </c>
      <c r="C14" s="24">
        <f>_xlfn.XLOOKUP(PassiveProperty[[#This Row],[id]],Passive[passive_property_id],Passive['#effect_group],"__",0)</f>
        <v/>
      </c>
      <c r="D14">
        <f>_xlfn.XLOOKUP(PassiveProperty[[#This Row],[id]],Passive[id],Passive['#effect_memo],"__",0)</f>
        <v/>
      </c>
      <c r="E14" t="n">
        <v>0</v>
      </c>
      <c r="F14" t="n">
        <v>0</v>
      </c>
      <c r="I14" s="26">
        <f>PassiveProperty[[#This Row],[id]]*10+PassiveProperty[[#This Row],[property_id]]</f>
        <v/>
      </c>
      <c r="K14" s="51" t="n"/>
      <c r="L14" s="41" t="inlineStr">
        <is>
          <t>Always</t>
        </is>
      </c>
      <c r="M14" t="n">
        <v>-1</v>
      </c>
      <c r="N14" t="n">
        <v>-1</v>
      </c>
      <c r="O14" t="inlineStr">
        <is>
          <t>None</t>
        </is>
      </c>
      <c r="P14" t="n">
        <v>-1</v>
      </c>
      <c r="Q14" t="n">
        <v>-1</v>
      </c>
    </row>
    <row r="15">
      <c r="A15" t="n">
        <v>204</v>
      </c>
      <c r="B15" t="n">
        <v>1</v>
      </c>
      <c r="C15" s="24">
        <f>_xlfn.XLOOKUP(PassiveProperty[[#This Row],[id]],Passive[passive_property_id],Passive['#effect_group],"__",0)</f>
        <v/>
      </c>
      <c r="D15">
        <f>_xlfn.XLOOKUP(PassiveProperty[[#This Row],[id]],Passive[id],Passive['#effect_memo],"__",0)</f>
        <v/>
      </c>
      <c r="E15" t="n">
        <v>0</v>
      </c>
      <c r="F15" t="n">
        <v>0</v>
      </c>
      <c r="I15" s="26">
        <f>PassiveProperty[[#This Row],[id]]*10+PassiveProperty[[#This Row],[property_id]]</f>
        <v/>
      </c>
      <c r="K15" s="51" t="n"/>
      <c r="L15" s="41" t="inlineStr">
        <is>
          <t>Always</t>
        </is>
      </c>
      <c r="M15" t="n">
        <v>-1</v>
      </c>
      <c r="N15" t="n">
        <v>-1</v>
      </c>
      <c r="O15" t="inlineStr">
        <is>
          <t>None</t>
        </is>
      </c>
      <c r="P15" t="n">
        <v>-1</v>
      </c>
      <c r="Q15" t="n">
        <v>-1</v>
      </c>
    </row>
    <row r="16">
      <c r="A16" t="n">
        <v>205</v>
      </c>
      <c r="B16" t="n">
        <v>1</v>
      </c>
      <c r="C16" s="24">
        <f>_xlfn.XLOOKUP(PassiveProperty[[#This Row],[id]],Passive[passive_property_id],Passive['#effect_group],"__",0)</f>
        <v/>
      </c>
      <c r="D16">
        <f>_xlfn.XLOOKUP(PassiveProperty[[#This Row],[id]],Passive[id],Passive['#effect_memo],"__",0)</f>
        <v/>
      </c>
      <c r="E16" t="n">
        <v>0</v>
      </c>
      <c r="F16" t="n">
        <v>0</v>
      </c>
      <c r="I16" s="26">
        <f>PassiveProperty[[#This Row],[id]]*10+PassiveProperty[[#This Row],[property_id]]</f>
        <v/>
      </c>
      <c r="K16" s="51" t="n"/>
      <c r="L16" s="41" t="inlineStr">
        <is>
          <t>Always</t>
        </is>
      </c>
      <c r="M16" t="n">
        <v>-1</v>
      </c>
      <c r="N16" t="n">
        <v>-1</v>
      </c>
      <c r="O16" t="inlineStr">
        <is>
          <t>None</t>
        </is>
      </c>
      <c r="P16" t="n">
        <v>-1</v>
      </c>
      <c r="Q16" t="n">
        <v>-1</v>
      </c>
    </row>
    <row r="17">
      <c r="A17" t="n">
        <v>206</v>
      </c>
      <c r="B17" t="n">
        <v>1</v>
      </c>
      <c r="C17" s="24">
        <f>_xlfn.XLOOKUP(PassiveProperty[[#This Row],[id]],Passive[passive_property_id],Passive['#effect_group],"__",0)</f>
        <v/>
      </c>
      <c r="D17">
        <f>_xlfn.XLOOKUP(PassiveProperty[[#This Row],[id]],Passive[id],Passive['#effect_memo],"__",0)</f>
        <v/>
      </c>
      <c r="E17" t="n">
        <v>0</v>
      </c>
      <c r="F17" t="n">
        <v>0</v>
      </c>
      <c r="I17" s="26">
        <f>PassiveProperty[[#This Row],[id]]*10+PassiveProperty[[#This Row],[property_id]]</f>
        <v/>
      </c>
      <c r="K17" s="51" t="n"/>
      <c r="L17" s="41" t="inlineStr">
        <is>
          <t>Always</t>
        </is>
      </c>
      <c r="M17" t="n">
        <v>-1</v>
      </c>
      <c r="N17" t="n">
        <v>-1</v>
      </c>
      <c r="O17" t="inlineStr">
        <is>
          <t>None</t>
        </is>
      </c>
      <c r="P17" t="n">
        <v>-1</v>
      </c>
      <c r="Q17" t="n">
        <v>-1</v>
      </c>
    </row>
    <row r="18">
      <c r="A18" t="n">
        <v>207</v>
      </c>
      <c r="B18" t="n">
        <v>1</v>
      </c>
      <c r="C18" s="24">
        <f>_xlfn.XLOOKUP(PassiveProperty[[#This Row],[id]],Passive[passive_property_id],Passive['#effect_group],"__",0)</f>
        <v/>
      </c>
      <c r="D18">
        <f>_xlfn.XLOOKUP(PassiveProperty[[#This Row],[id]],Passive[id],Passive['#effect_memo],"__",0)</f>
        <v/>
      </c>
      <c r="E18" t="n">
        <v>0</v>
      </c>
      <c r="F18" t="n">
        <v>0</v>
      </c>
      <c r="I18" s="26">
        <f>PassiveProperty[[#This Row],[id]]*10+PassiveProperty[[#This Row],[property_id]]</f>
        <v/>
      </c>
      <c r="K18" s="51" t="n"/>
      <c r="L18" s="41" t="inlineStr">
        <is>
          <t>Always</t>
        </is>
      </c>
      <c r="M18" t="n">
        <v>-1</v>
      </c>
      <c r="N18" t="n">
        <v>-1</v>
      </c>
      <c r="O18" t="inlineStr">
        <is>
          <t>None</t>
        </is>
      </c>
      <c r="P18" t="n">
        <v>-1</v>
      </c>
      <c r="Q18" t="n">
        <v>-1</v>
      </c>
    </row>
    <row r="19">
      <c r="A19" t="n">
        <v>208</v>
      </c>
      <c r="B19" t="n">
        <v>1</v>
      </c>
      <c r="C19" s="24">
        <f>_xlfn.XLOOKUP(PassiveProperty[[#This Row],[id]],Passive[passive_property_id],Passive['#effect_group],"__",0)</f>
        <v/>
      </c>
      <c r="D19">
        <f>_xlfn.XLOOKUP(PassiveProperty[[#This Row],[id]],Passive[id],Passive['#effect_memo],"__",0)</f>
        <v/>
      </c>
      <c r="E19" t="n">
        <v>0</v>
      </c>
      <c r="F19" t="n">
        <v>0</v>
      </c>
      <c r="I19" s="26">
        <f>PassiveProperty[[#This Row],[id]]*10+PassiveProperty[[#This Row],[property_id]]</f>
        <v/>
      </c>
      <c r="K19" s="51" t="n"/>
      <c r="L19" s="41" t="inlineStr">
        <is>
          <t>Always</t>
        </is>
      </c>
      <c r="M19" t="n">
        <v>-1</v>
      </c>
      <c r="N19" t="n">
        <v>-1</v>
      </c>
      <c r="O19" t="inlineStr">
        <is>
          <t>None</t>
        </is>
      </c>
      <c r="P19" t="n">
        <v>-1</v>
      </c>
      <c r="Q19" t="n">
        <v>-1</v>
      </c>
    </row>
    <row r="20" ht="17.25" customFormat="1" customHeight="1" s="36" thickBot="1">
      <c r="A20" s="36" t="n">
        <v>209</v>
      </c>
      <c r="B20" s="36" t="n">
        <v>1</v>
      </c>
      <c r="C20" s="37">
        <f>_xlfn.XLOOKUP(PassiveProperty[[#This Row],[id]],Passive[passive_property_id],Passive['#effect_group],"__",0)</f>
        <v/>
      </c>
      <c r="D20" s="36">
        <f>_xlfn.XLOOKUP(PassiveProperty[[#This Row],[id]],Passive[id],Passive['#effect_memo],"__",0)</f>
        <v/>
      </c>
      <c r="E20" s="36" t="n">
        <v>0</v>
      </c>
      <c r="F20" s="36" t="n">
        <v>0</v>
      </c>
      <c r="I20" s="39">
        <f>PassiveProperty[[#This Row],[id]]*10+PassiveProperty[[#This Row],[property_id]]</f>
        <v/>
      </c>
      <c r="J20" s="42" t="n"/>
      <c r="K20" s="52" t="n"/>
      <c r="L20" s="42" t="inlineStr">
        <is>
          <t>Always</t>
        </is>
      </c>
      <c r="M20" s="36" t="n">
        <v>-1</v>
      </c>
      <c r="N20" s="36" t="n">
        <v>-1</v>
      </c>
      <c r="O20" s="36" t="inlineStr">
        <is>
          <t>None</t>
        </is>
      </c>
      <c r="P20" s="36" t="n">
        <v>-1</v>
      </c>
      <c r="Q20" s="36" t="n">
        <v>-1</v>
      </c>
    </row>
    <row r="21">
      <c r="A21" t="n">
        <v>11001</v>
      </c>
      <c r="B21" t="n">
        <v>1</v>
      </c>
      <c r="C21" s="24">
        <f>_xlfn.XLOOKUP(PassiveProperty[[#This Row],[id]],Passive[passive_property_id],Passive['#effect_group],"__",0)</f>
        <v/>
      </c>
      <c r="D21">
        <f>_xlfn.XLOOKUP(PassiveProperty[[#This Row],[id]],Passive[id],Passive['#effect_memo],"__",0)</f>
        <v/>
      </c>
      <c r="E21" t="n">
        <v>0</v>
      </c>
      <c r="F21" t="n">
        <v>0</v>
      </c>
      <c r="I21" s="26">
        <f>PassiveProperty[[#This Row],[id]]*10+PassiveProperty[[#This Row],[property_id]]</f>
        <v/>
      </c>
      <c r="K21" s="51" t="n"/>
      <c r="L21" s="41" t="inlineStr">
        <is>
          <t>Always</t>
        </is>
      </c>
      <c r="M21" t="n">
        <v>-1</v>
      </c>
      <c r="N21" t="n">
        <v>-1</v>
      </c>
      <c r="O21" t="inlineStr">
        <is>
          <t>None</t>
        </is>
      </c>
      <c r="P21" t="n">
        <v>-1</v>
      </c>
      <c r="Q21" t="n">
        <v>-1</v>
      </c>
    </row>
    <row r="22">
      <c r="A22" t="n">
        <v>11002</v>
      </c>
      <c r="B22" t="n">
        <v>1</v>
      </c>
      <c r="C22" s="24">
        <f>_xlfn.XLOOKUP(PassiveProperty[[#This Row],[id]],Passive[passive_property_id],Passive['#effect_group],"__",0)</f>
        <v/>
      </c>
      <c r="D22">
        <f>_xlfn.XLOOKUP(PassiveProperty[[#This Row],[id]],Passive[id],Passive['#effect_memo],"__",0)</f>
        <v/>
      </c>
      <c r="E22" t="n">
        <v>0</v>
      </c>
      <c r="F22" t="n">
        <v>0</v>
      </c>
      <c r="I22" s="26">
        <f>PassiveProperty[[#This Row],[id]]*10+PassiveProperty[[#This Row],[property_id]]</f>
        <v/>
      </c>
      <c r="K22" s="51" t="n"/>
      <c r="L22" s="41" t="inlineStr">
        <is>
          <t>Always</t>
        </is>
      </c>
      <c r="M22" t="n">
        <v>-1</v>
      </c>
      <c r="N22" t="n">
        <v>-1</v>
      </c>
      <c r="O22" t="inlineStr">
        <is>
          <t>None</t>
        </is>
      </c>
      <c r="P22" t="n">
        <v>-1</v>
      </c>
      <c r="Q22" t="n">
        <v>-1</v>
      </c>
    </row>
    <row r="23">
      <c r="A23" t="n">
        <v>11003</v>
      </c>
      <c r="B23" t="n">
        <v>1</v>
      </c>
      <c r="C23" s="24">
        <f>_xlfn.XLOOKUP(PassiveProperty[[#This Row],[id]],Passive[passive_property_id],Passive['#effect_group],"__",0)</f>
        <v/>
      </c>
      <c r="D23">
        <f>_xlfn.XLOOKUP(PassiveProperty[[#This Row],[id]],Passive[id],Passive['#effect_memo],"__",0)</f>
        <v/>
      </c>
      <c r="E23" t="n">
        <v>0</v>
      </c>
      <c r="F23" t="n">
        <v>0</v>
      </c>
      <c r="I23" s="26">
        <f>PassiveProperty[[#This Row],[id]]*10+PassiveProperty[[#This Row],[property_id]]</f>
        <v/>
      </c>
      <c r="K23" s="51" t="n"/>
      <c r="L23" s="41" t="inlineStr">
        <is>
          <t>Always</t>
        </is>
      </c>
      <c r="M23" t="n">
        <v>-1</v>
      </c>
      <c r="N23" t="n">
        <v>-1</v>
      </c>
      <c r="O23" t="inlineStr">
        <is>
          <t>None</t>
        </is>
      </c>
      <c r="P23" t="n">
        <v>-1</v>
      </c>
      <c r="Q23" t="n">
        <v>-1</v>
      </c>
    </row>
    <row r="24">
      <c r="A24" t="n">
        <v>11004</v>
      </c>
      <c r="B24" t="n">
        <v>1</v>
      </c>
      <c r="C24" s="24">
        <f>_xlfn.XLOOKUP(PassiveProperty[[#This Row],[id]],Passive[passive_property_id],Passive['#effect_group],"__",0)</f>
        <v/>
      </c>
      <c r="D24">
        <f>_xlfn.XLOOKUP(PassiveProperty[[#This Row],[id]],Passive[id],Passive['#effect_memo],"__",0)</f>
        <v/>
      </c>
      <c r="E24" t="n">
        <v>0</v>
      </c>
      <c r="F24" t="n">
        <v>0</v>
      </c>
      <c r="I24" s="26">
        <f>PassiveProperty[[#This Row],[id]]*10+PassiveProperty[[#This Row],[property_id]]</f>
        <v/>
      </c>
      <c r="K24" s="51" t="n"/>
      <c r="L24" s="41" t="inlineStr">
        <is>
          <t>Always</t>
        </is>
      </c>
      <c r="M24" t="n">
        <v>-1</v>
      </c>
      <c r="N24" t="n">
        <v>-1</v>
      </c>
      <c r="O24" t="inlineStr">
        <is>
          <t>None</t>
        </is>
      </c>
      <c r="P24" t="n">
        <v>-1</v>
      </c>
      <c r="Q24" t="n">
        <v>-1</v>
      </c>
    </row>
    <row r="25">
      <c r="A25" t="n">
        <v>11005</v>
      </c>
      <c r="B25" t="n">
        <v>1</v>
      </c>
      <c r="C25" s="24">
        <f>_xlfn.XLOOKUP(PassiveProperty[[#This Row],[id]],Passive[passive_property_id],Passive['#effect_group],"__",0)</f>
        <v/>
      </c>
      <c r="D25">
        <f>_xlfn.XLOOKUP(PassiveProperty[[#This Row],[id]],Passive[id],Passive['#effect_memo],"__",0)</f>
        <v/>
      </c>
      <c r="E25" t="n">
        <v>0</v>
      </c>
      <c r="F25" t="n">
        <v>0</v>
      </c>
      <c r="I25" s="26">
        <f>PassiveProperty[[#This Row],[id]]*10+PassiveProperty[[#This Row],[property_id]]</f>
        <v/>
      </c>
      <c r="K25" s="51" t="n"/>
      <c r="L25" s="41" t="inlineStr">
        <is>
          <t>Always</t>
        </is>
      </c>
      <c r="M25" t="n">
        <v>-1</v>
      </c>
      <c r="N25" t="n">
        <v>-1</v>
      </c>
      <c r="O25" t="inlineStr">
        <is>
          <t>None</t>
        </is>
      </c>
      <c r="P25" t="n">
        <v>-1</v>
      </c>
      <c r="Q25" t="n">
        <v>-1</v>
      </c>
    </row>
    <row r="26">
      <c r="A26" t="n">
        <v>11006</v>
      </c>
      <c r="B26" t="n">
        <v>1</v>
      </c>
      <c r="C26" s="24">
        <f>_xlfn.XLOOKUP(PassiveProperty[[#This Row],[id]],Passive[passive_property_id],Passive['#effect_group],"__",0)</f>
        <v/>
      </c>
      <c r="D26">
        <f>_xlfn.XLOOKUP(PassiveProperty[[#This Row],[id]],Passive[id],Passive['#effect_memo],"__",0)</f>
        <v/>
      </c>
      <c r="E26" t="n">
        <v>0</v>
      </c>
      <c r="F26" t="n">
        <v>0</v>
      </c>
      <c r="I26" s="26">
        <f>PassiveProperty[[#This Row],[id]]*10+PassiveProperty[[#This Row],[property_id]]</f>
        <v/>
      </c>
      <c r="K26" s="51" t="n"/>
      <c r="L26" s="41" t="inlineStr">
        <is>
          <t>Always</t>
        </is>
      </c>
      <c r="M26" t="n">
        <v>-1</v>
      </c>
      <c r="N26" t="n">
        <v>-1</v>
      </c>
      <c r="O26" t="inlineStr">
        <is>
          <t>None</t>
        </is>
      </c>
      <c r="P26" t="n">
        <v>-1</v>
      </c>
      <c r="Q26" t="n">
        <v>-1</v>
      </c>
    </row>
    <row r="27">
      <c r="A27" t="n">
        <v>11007</v>
      </c>
      <c r="B27" t="n">
        <v>1</v>
      </c>
      <c r="C27" s="24">
        <f>_xlfn.XLOOKUP(PassiveProperty[[#This Row],[id]],Passive[passive_property_id],Passive['#effect_group],"__",0)</f>
        <v/>
      </c>
      <c r="D27">
        <f>_xlfn.XLOOKUP(PassiveProperty[[#This Row],[id]],Passive[id],Passive['#effect_memo],"__",0)</f>
        <v/>
      </c>
      <c r="E27" t="n">
        <v>0</v>
      </c>
      <c r="F27" t="n">
        <v>0</v>
      </c>
      <c r="I27" s="26">
        <f>PassiveProperty[[#This Row],[id]]*10+PassiveProperty[[#This Row],[property_id]]</f>
        <v/>
      </c>
      <c r="K27" s="51" t="n"/>
      <c r="L27" s="41" t="inlineStr">
        <is>
          <t>Always</t>
        </is>
      </c>
      <c r="M27" t="n">
        <v>-1</v>
      </c>
      <c r="N27" t="n">
        <v>-1</v>
      </c>
      <c r="O27" t="inlineStr">
        <is>
          <t>None</t>
        </is>
      </c>
      <c r="P27" t="n">
        <v>-1</v>
      </c>
      <c r="Q27" t="n">
        <v>-1</v>
      </c>
    </row>
    <row r="28">
      <c r="A28" t="n">
        <v>11008</v>
      </c>
      <c r="B28" t="n">
        <v>1</v>
      </c>
      <c r="C28" s="24">
        <f>_xlfn.XLOOKUP(PassiveProperty[[#This Row],[id]],Passive[passive_property_id],Passive['#effect_group],"__",0)</f>
        <v/>
      </c>
      <c r="D28">
        <f>_xlfn.XLOOKUP(PassiveProperty[[#This Row],[id]],Passive[id],Passive['#effect_memo],"__",0)</f>
        <v/>
      </c>
      <c r="E28" t="n">
        <v>0</v>
      </c>
      <c r="F28" t="n">
        <v>0</v>
      </c>
      <c r="I28" s="26">
        <f>PassiveProperty[[#This Row],[id]]*10+PassiveProperty[[#This Row],[property_id]]</f>
        <v/>
      </c>
      <c r="K28" s="51" t="n"/>
      <c r="L28" s="41" t="inlineStr">
        <is>
          <t>Always</t>
        </is>
      </c>
      <c r="M28" t="n">
        <v>-1</v>
      </c>
      <c r="N28" t="n">
        <v>-1</v>
      </c>
      <c r="O28" t="inlineStr">
        <is>
          <t>None</t>
        </is>
      </c>
      <c r="P28" t="n">
        <v>-1</v>
      </c>
      <c r="Q28" t="n">
        <v>-1</v>
      </c>
    </row>
    <row r="29" ht="17.25" customFormat="1" customHeight="1" s="36" thickBot="1">
      <c r="A29" s="36" t="n">
        <v>11009</v>
      </c>
      <c r="B29" s="36" t="n">
        <v>1</v>
      </c>
      <c r="C29" s="37">
        <f>_xlfn.XLOOKUP(PassiveProperty[[#This Row],[id]],Passive[passive_property_id],Passive['#effect_group],"__",0)</f>
        <v/>
      </c>
      <c r="D29" s="36">
        <f>_xlfn.XLOOKUP(PassiveProperty[[#This Row],[id]],Passive[id],Passive['#effect_memo],"__",0)</f>
        <v/>
      </c>
      <c r="E29" s="36" t="n">
        <v>0</v>
      </c>
      <c r="F29" s="36" t="n">
        <v>0</v>
      </c>
      <c r="I29" s="39">
        <f>PassiveProperty[[#This Row],[id]]*10+PassiveProperty[[#This Row],[property_id]]</f>
        <v/>
      </c>
      <c r="J29" s="42" t="n"/>
      <c r="K29" s="52" t="n"/>
      <c r="L29" s="42" t="inlineStr">
        <is>
          <t>Always</t>
        </is>
      </c>
      <c r="M29" s="36" t="n">
        <v>-1</v>
      </c>
      <c r="N29" s="36" t="n">
        <v>-1</v>
      </c>
      <c r="O29" s="36" t="inlineStr">
        <is>
          <t>None</t>
        </is>
      </c>
      <c r="P29" s="36" t="n">
        <v>-1</v>
      </c>
      <c r="Q29" s="36" t="n">
        <v>-1</v>
      </c>
    </row>
    <row r="30">
      <c r="A30" t="n">
        <v>10101101</v>
      </c>
      <c r="B30" t="n">
        <v>1</v>
      </c>
      <c r="C30" s="24">
        <f>_xlfn.XLOOKUP(PassiveProperty[[#This Row],[id]],Passive[passive_property_id],Passive['#effect_group],"__",0)</f>
        <v/>
      </c>
      <c r="D30">
        <f>_xlfn.XLOOKUP(PassiveProperty[[#This Row],[id]],Passive[id],Passive['#effect_memo],"__",0)</f>
        <v/>
      </c>
      <c r="E30" t="n">
        <v>0</v>
      </c>
      <c r="F30" t="n">
        <v>0</v>
      </c>
      <c r="I30" s="26">
        <f>PassiveProperty[[#This Row],[id]]*10+PassiveProperty[[#This Row],[property_id]]</f>
        <v/>
      </c>
      <c r="K30" s="51" t="n"/>
      <c r="L30" s="41" t="inlineStr">
        <is>
          <t>Always</t>
        </is>
      </c>
      <c r="M30" t="n">
        <v>-1</v>
      </c>
      <c r="N30" t="n">
        <v>-1</v>
      </c>
      <c r="O30" t="inlineStr">
        <is>
          <t>None</t>
        </is>
      </c>
      <c r="P30" t="n">
        <v>-1</v>
      </c>
      <c r="Q30" t="n">
        <v>-1</v>
      </c>
    </row>
    <row r="31">
      <c r="A31" t="n">
        <v>10101102</v>
      </c>
      <c r="B31" t="n">
        <v>1</v>
      </c>
      <c r="C31" s="24">
        <f>_xlfn.XLOOKUP(PassiveProperty[[#This Row],[id]],Passive[passive_property_id],Passive['#effect_group],"__",0)</f>
        <v/>
      </c>
      <c r="D31">
        <f>_xlfn.XLOOKUP(PassiveProperty[[#This Row],[id]],Passive[id],Passive['#effect_memo],"__",0)</f>
        <v/>
      </c>
      <c r="E31" t="n">
        <v>0</v>
      </c>
      <c r="F31" t="n">
        <v>0</v>
      </c>
      <c r="I31" s="26">
        <f>PassiveProperty[[#This Row],[id]]*10+PassiveProperty[[#This Row],[property_id]]</f>
        <v/>
      </c>
      <c r="K31" s="51" t="n"/>
      <c r="L31" s="41" t="inlineStr">
        <is>
          <t>Always</t>
        </is>
      </c>
      <c r="M31" t="n">
        <v>-1</v>
      </c>
      <c r="N31" t="n">
        <v>-1</v>
      </c>
      <c r="O31" t="inlineStr">
        <is>
          <t>None</t>
        </is>
      </c>
      <c r="P31" t="n">
        <v>-1</v>
      </c>
      <c r="Q31" t="n">
        <v>-1</v>
      </c>
    </row>
    <row r="32">
      <c r="A32" t="n">
        <v>10101103</v>
      </c>
      <c r="B32" t="n">
        <v>1</v>
      </c>
      <c r="C32" s="24">
        <f>_xlfn.XLOOKUP(PassiveProperty[[#This Row],[id]],Passive[passive_property_id],Passive['#effect_group],"__",0)</f>
        <v/>
      </c>
      <c r="D32">
        <f>_xlfn.XLOOKUP(PassiveProperty[[#This Row],[id]],Passive[id],Passive['#effect_memo],"__",0)</f>
        <v/>
      </c>
      <c r="E32" t="n">
        <v>0</v>
      </c>
      <c r="F32" t="n">
        <v>0</v>
      </c>
      <c r="I32" s="26">
        <f>PassiveProperty[[#This Row],[id]]*10+PassiveProperty[[#This Row],[property_id]]</f>
        <v/>
      </c>
      <c r="K32" s="51" t="n"/>
      <c r="L32" s="41" t="inlineStr">
        <is>
          <t>Always</t>
        </is>
      </c>
      <c r="M32" t="n">
        <v>-1</v>
      </c>
      <c r="N32" t="n">
        <v>-1</v>
      </c>
      <c r="O32" t="inlineStr">
        <is>
          <t>None</t>
        </is>
      </c>
      <c r="P32" t="n">
        <v>-1</v>
      </c>
      <c r="Q32" t="n">
        <v>-1</v>
      </c>
    </row>
    <row r="33">
      <c r="A33" t="n">
        <v>10101104</v>
      </c>
      <c r="B33" t="n">
        <v>1</v>
      </c>
      <c r="C33" s="24">
        <f>_xlfn.XLOOKUP(PassiveProperty[[#This Row],[id]],Passive[passive_property_id],Passive['#effect_group],"__",0)</f>
        <v/>
      </c>
      <c r="D33">
        <f>_xlfn.XLOOKUP(PassiveProperty[[#This Row],[id]],Passive[id],Passive['#effect_memo],"__",0)</f>
        <v/>
      </c>
      <c r="E33" t="n">
        <v>0</v>
      </c>
      <c r="F33" t="n">
        <v>0</v>
      </c>
      <c r="I33" s="26">
        <f>PassiveProperty[[#This Row],[id]]*10+PassiveProperty[[#This Row],[property_id]]</f>
        <v/>
      </c>
      <c r="K33" s="51" t="n"/>
      <c r="L33" s="41" t="inlineStr">
        <is>
          <t>Always</t>
        </is>
      </c>
      <c r="M33" t="n">
        <v>-1</v>
      </c>
      <c r="N33" t="n">
        <v>-1</v>
      </c>
      <c r="O33" t="inlineStr">
        <is>
          <t>None</t>
        </is>
      </c>
      <c r="P33" t="n">
        <v>-1</v>
      </c>
      <c r="Q33" t="n">
        <v>-1</v>
      </c>
    </row>
    <row r="34">
      <c r="A34" t="n">
        <v>10101105</v>
      </c>
      <c r="B34" t="n">
        <v>1</v>
      </c>
      <c r="C34" s="24">
        <f>_xlfn.XLOOKUP(PassiveProperty[[#This Row],[id]],Passive[passive_property_id],Passive['#effect_group],"__",0)</f>
        <v/>
      </c>
      <c r="D34">
        <f>_xlfn.XLOOKUP(PassiveProperty[[#This Row],[id]],Passive[id],Passive['#effect_memo],"__",0)</f>
        <v/>
      </c>
      <c r="E34" t="n">
        <v>0</v>
      </c>
      <c r="F34" t="n">
        <v>0</v>
      </c>
      <c r="I34" s="26">
        <f>PassiveProperty[[#This Row],[id]]*10+PassiveProperty[[#This Row],[property_id]]</f>
        <v/>
      </c>
      <c r="K34" s="51" t="n"/>
      <c r="L34" s="41" t="inlineStr">
        <is>
          <t>Always</t>
        </is>
      </c>
      <c r="M34" t="n">
        <v>-1</v>
      </c>
      <c r="N34" t="n">
        <v>-1</v>
      </c>
      <c r="O34" t="inlineStr">
        <is>
          <t>None</t>
        </is>
      </c>
      <c r="P34" t="n">
        <v>-1</v>
      </c>
      <c r="Q34" t="n">
        <v>-1</v>
      </c>
    </row>
    <row r="35">
      <c r="A35" t="n">
        <v>10101106</v>
      </c>
      <c r="B35" t="n">
        <v>1</v>
      </c>
      <c r="C35" s="24">
        <f>_xlfn.XLOOKUP(PassiveProperty[[#This Row],[id]],Passive[passive_property_id],Passive['#effect_group],"__",0)</f>
        <v/>
      </c>
      <c r="D35">
        <f>_xlfn.XLOOKUP(PassiveProperty[[#This Row],[id]],Passive[id],Passive['#effect_memo],"__",0)</f>
        <v/>
      </c>
      <c r="E35" t="n">
        <v>0</v>
      </c>
      <c r="F35" t="n">
        <v>0</v>
      </c>
      <c r="I35" s="26">
        <f>PassiveProperty[[#This Row],[id]]*10+PassiveProperty[[#This Row],[property_id]]</f>
        <v/>
      </c>
      <c r="K35" s="51" t="n"/>
      <c r="L35" s="41" t="inlineStr">
        <is>
          <t>Always</t>
        </is>
      </c>
      <c r="M35" t="n">
        <v>-1</v>
      </c>
      <c r="N35" t="n">
        <v>-1</v>
      </c>
      <c r="O35" t="inlineStr">
        <is>
          <t>None</t>
        </is>
      </c>
      <c r="P35" t="n">
        <v>-1</v>
      </c>
      <c r="Q35" t="n">
        <v>-1</v>
      </c>
    </row>
    <row r="36">
      <c r="A36" t="n">
        <v>10101107</v>
      </c>
      <c r="B36" t="n">
        <v>1</v>
      </c>
      <c r="C36" s="24">
        <f>_xlfn.XLOOKUP(PassiveProperty[[#This Row],[id]],Passive[passive_property_id],Passive['#effect_group],"__",0)</f>
        <v/>
      </c>
      <c r="D36">
        <f>_xlfn.XLOOKUP(PassiveProperty[[#This Row],[id]],Passive[id],Passive['#effect_memo],"__",0)</f>
        <v/>
      </c>
      <c r="E36" t="n">
        <v>0</v>
      </c>
      <c r="F36" t="n">
        <v>0</v>
      </c>
      <c r="I36" s="26">
        <f>PassiveProperty[[#This Row],[id]]*10+PassiveProperty[[#This Row],[property_id]]</f>
        <v/>
      </c>
      <c r="K36" s="51" t="n"/>
      <c r="L36" s="41" t="inlineStr">
        <is>
          <t>Always</t>
        </is>
      </c>
      <c r="M36" t="n">
        <v>-1</v>
      </c>
      <c r="N36" t="n">
        <v>-1</v>
      </c>
      <c r="O36" t="inlineStr">
        <is>
          <t>None</t>
        </is>
      </c>
      <c r="P36" t="n">
        <v>-1</v>
      </c>
      <c r="Q36" t="n">
        <v>-1</v>
      </c>
    </row>
    <row r="37">
      <c r="A37" t="n">
        <v>10101108</v>
      </c>
      <c r="B37" t="n">
        <v>1</v>
      </c>
      <c r="C37" s="24">
        <f>_xlfn.XLOOKUP(PassiveProperty[[#This Row],[id]],Passive[passive_property_id],Passive['#effect_group],"__",0)</f>
        <v/>
      </c>
      <c r="D37">
        <f>_xlfn.XLOOKUP(PassiveProperty[[#This Row],[id]],Passive[id],Passive['#effect_memo],"__",0)</f>
        <v/>
      </c>
      <c r="E37" t="n">
        <v>0</v>
      </c>
      <c r="F37" t="n">
        <v>0</v>
      </c>
      <c r="I37" s="26">
        <f>PassiveProperty[[#This Row],[id]]*10+PassiveProperty[[#This Row],[property_id]]</f>
        <v/>
      </c>
      <c r="K37" s="51" t="n"/>
      <c r="L37" s="41" t="inlineStr">
        <is>
          <t>Always</t>
        </is>
      </c>
      <c r="M37" t="n">
        <v>-1</v>
      </c>
      <c r="N37" t="n">
        <v>-1</v>
      </c>
      <c r="O37" t="inlineStr">
        <is>
          <t>None</t>
        </is>
      </c>
      <c r="P37" t="n">
        <v>-1</v>
      </c>
      <c r="Q37" t="n">
        <v>-1</v>
      </c>
    </row>
    <row r="38" ht="17.25" customFormat="1" customHeight="1" s="36" thickBot="1">
      <c r="A38" s="36" t="n">
        <v>10101109</v>
      </c>
      <c r="B38" s="36" t="n">
        <v>1</v>
      </c>
      <c r="C38" s="37">
        <f>_xlfn.XLOOKUP(PassiveProperty[[#This Row],[id]],Passive[passive_property_id],Passive['#effect_group],"__",0)</f>
        <v/>
      </c>
      <c r="D38" s="36">
        <f>_xlfn.XLOOKUP(PassiveProperty[[#This Row],[id]],Passive[id],Passive['#effect_memo],"__",0)</f>
        <v/>
      </c>
      <c r="E38" s="36" t="n">
        <v>0</v>
      </c>
      <c r="F38" s="36" t="n">
        <v>0</v>
      </c>
      <c r="I38" s="39">
        <f>PassiveProperty[[#This Row],[id]]*10+PassiveProperty[[#This Row],[property_id]]</f>
        <v/>
      </c>
      <c r="J38" s="42" t="n"/>
      <c r="K38" s="52" t="n"/>
      <c r="L38" s="42" t="inlineStr">
        <is>
          <t>Always</t>
        </is>
      </c>
      <c r="M38" s="36" t="n">
        <v>-1</v>
      </c>
      <c r="N38" s="36" t="n">
        <v>-1</v>
      </c>
      <c r="O38" s="36" t="inlineStr">
        <is>
          <t>None</t>
        </is>
      </c>
      <c r="P38" s="36" t="n">
        <v>-1</v>
      </c>
      <c r="Q38" s="36" t="n">
        <v>-1</v>
      </c>
    </row>
    <row r="39" ht="17.25" customHeight="1">
      <c r="A39" t="n">
        <v>10101201</v>
      </c>
      <c r="B39" t="n">
        <v>1</v>
      </c>
      <c r="C39" s="24">
        <f>_xlfn.XLOOKUP(PassiveProperty[[#This Row],[id]],Passive[passive_property_id],Passive['#effect_group],"__",0)</f>
        <v/>
      </c>
      <c r="D39">
        <f>_xlfn.XLOOKUP(PassiveProperty[[#This Row],[id]],Passive[id],Passive['#effect_memo],"__",0)</f>
        <v/>
      </c>
      <c r="E39" t="n">
        <v>0</v>
      </c>
      <c r="F39" t="n">
        <v>0</v>
      </c>
      <c r="I39" s="26">
        <f>PassiveProperty[[#This Row],[id]]*10+PassiveProperty[[#This Row],[property_id]]</f>
        <v/>
      </c>
      <c r="K39" s="51" t="n"/>
      <c r="L39" s="41" t="inlineStr">
        <is>
          <t>Always</t>
        </is>
      </c>
      <c r="M39" t="n">
        <v>-1</v>
      </c>
      <c r="N39" t="n">
        <v>-1</v>
      </c>
      <c r="O39" t="inlineStr">
        <is>
          <t>None</t>
        </is>
      </c>
      <c r="P39" t="n">
        <v>-1</v>
      </c>
      <c r="Q39" t="n">
        <v>-1</v>
      </c>
    </row>
    <row r="40" ht="17.25" customHeight="1">
      <c r="A40" t="n">
        <v>10101202</v>
      </c>
      <c r="B40" t="n">
        <v>1</v>
      </c>
      <c r="C40" s="24">
        <f>_xlfn.XLOOKUP(PassiveProperty[[#This Row],[id]],Passive[passive_property_id],Passive['#effect_group],"__",0)</f>
        <v/>
      </c>
      <c r="D40">
        <f>_xlfn.XLOOKUP(PassiveProperty[[#This Row],[id]],Passive[id],Passive['#effect_memo],"__",0)</f>
        <v/>
      </c>
      <c r="E40" t="n">
        <v>0</v>
      </c>
      <c r="F40" t="n">
        <v>0</v>
      </c>
      <c r="I40" s="26">
        <f>PassiveProperty[[#This Row],[id]]*10+PassiveProperty[[#This Row],[property_id]]</f>
        <v/>
      </c>
      <c r="K40" s="51" t="n"/>
      <c r="L40" s="41" t="inlineStr">
        <is>
          <t>Always</t>
        </is>
      </c>
      <c r="M40" t="n">
        <v>-1</v>
      </c>
      <c r="N40" t="n">
        <v>-1</v>
      </c>
      <c r="O40" t="inlineStr">
        <is>
          <t>None</t>
        </is>
      </c>
      <c r="P40" t="n">
        <v>-1</v>
      </c>
      <c r="Q40" t="n">
        <v>-1</v>
      </c>
    </row>
    <row r="41" ht="17.25" customHeight="1">
      <c r="A41" t="n">
        <v>10101203</v>
      </c>
      <c r="B41" t="n">
        <v>1</v>
      </c>
      <c r="C41" s="24">
        <f>_xlfn.XLOOKUP(PassiveProperty[[#This Row],[id]],Passive[passive_property_id],Passive['#effect_group],"__",0)</f>
        <v/>
      </c>
      <c r="D41">
        <f>_xlfn.XLOOKUP(PassiveProperty[[#This Row],[id]],Passive[id],Passive['#effect_memo],"__",0)</f>
        <v/>
      </c>
      <c r="E41" t="n">
        <v>0</v>
      </c>
      <c r="F41" t="n">
        <v>0</v>
      </c>
      <c r="I41" s="26">
        <f>PassiveProperty[[#This Row],[id]]*10+PassiveProperty[[#This Row],[property_id]]</f>
        <v/>
      </c>
      <c r="K41" s="51" t="n"/>
      <c r="L41" s="41" t="inlineStr">
        <is>
          <t>Always</t>
        </is>
      </c>
      <c r="M41" t="n">
        <v>-1</v>
      </c>
      <c r="N41" t="n">
        <v>-1</v>
      </c>
      <c r="O41" t="inlineStr">
        <is>
          <t>None</t>
        </is>
      </c>
      <c r="P41" t="n">
        <v>-1</v>
      </c>
      <c r="Q41" t="n">
        <v>-1</v>
      </c>
    </row>
    <row r="42" ht="17.25" customHeight="1">
      <c r="A42" t="n">
        <v>10101204</v>
      </c>
      <c r="B42" t="n">
        <v>1</v>
      </c>
      <c r="C42" s="24">
        <f>_xlfn.XLOOKUP(PassiveProperty[[#This Row],[id]],Passive[passive_property_id],Passive['#effect_group],"__",0)</f>
        <v/>
      </c>
      <c r="D42">
        <f>_xlfn.XLOOKUP(PassiveProperty[[#This Row],[id]],Passive[id],Passive['#effect_memo],"__",0)</f>
        <v/>
      </c>
      <c r="E42" t="n">
        <v>0</v>
      </c>
      <c r="F42" t="n">
        <v>0</v>
      </c>
      <c r="I42" s="26">
        <f>PassiveProperty[[#This Row],[id]]*10+PassiveProperty[[#This Row],[property_id]]</f>
        <v/>
      </c>
      <c r="K42" s="51" t="n"/>
      <c r="L42" s="41" t="inlineStr">
        <is>
          <t>Always</t>
        </is>
      </c>
      <c r="M42" t="n">
        <v>-1</v>
      </c>
      <c r="N42" t="n">
        <v>-1</v>
      </c>
      <c r="O42" t="inlineStr">
        <is>
          <t>None</t>
        </is>
      </c>
      <c r="P42" t="n">
        <v>-1</v>
      </c>
      <c r="Q42" t="n">
        <v>-1</v>
      </c>
    </row>
    <row r="43" ht="17.25" customHeight="1">
      <c r="A43" t="n">
        <v>10101205</v>
      </c>
      <c r="B43" t="n">
        <v>1</v>
      </c>
      <c r="C43" s="24">
        <f>_xlfn.XLOOKUP(PassiveProperty[[#This Row],[id]],Passive[passive_property_id],Passive['#effect_group],"__",0)</f>
        <v/>
      </c>
      <c r="D43">
        <f>_xlfn.XLOOKUP(PassiveProperty[[#This Row],[id]],Passive[id],Passive['#effect_memo],"__",0)</f>
        <v/>
      </c>
      <c r="E43" t="n">
        <v>0</v>
      </c>
      <c r="F43" t="n">
        <v>0</v>
      </c>
      <c r="I43" s="26">
        <f>PassiveProperty[[#This Row],[id]]*10+PassiveProperty[[#This Row],[property_id]]</f>
        <v/>
      </c>
      <c r="K43" s="51" t="n"/>
      <c r="L43" s="41" t="inlineStr">
        <is>
          <t>Always</t>
        </is>
      </c>
      <c r="M43" t="n">
        <v>-1</v>
      </c>
      <c r="N43" t="n">
        <v>-1</v>
      </c>
      <c r="O43" t="inlineStr">
        <is>
          <t>None</t>
        </is>
      </c>
      <c r="P43" t="n">
        <v>-1</v>
      </c>
      <c r="Q43" t="n">
        <v>-1</v>
      </c>
    </row>
    <row r="44" ht="17.25" customHeight="1">
      <c r="A44" t="n">
        <v>10101206</v>
      </c>
      <c r="B44" t="n">
        <v>1</v>
      </c>
      <c r="C44" s="24">
        <f>_xlfn.XLOOKUP(PassiveProperty[[#This Row],[id]],Passive[passive_property_id],Passive['#effect_group],"__",0)</f>
        <v/>
      </c>
      <c r="D44">
        <f>_xlfn.XLOOKUP(PassiveProperty[[#This Row],[id]],Passive[id],Passive['#effect_memo],"__",0)</f>
        <v/>
      </c>
      <c r="E44" t="n">
        <v>0</v>
      </c>
      <c r="F44" t="n">
        <v>0</v>
      </c>
      <c r="I44" s="26">
        <f>PassiveProperty[[#This Row],[id]]*10+PassiveProperty[[#This Row],[property_id]]</f>
        <v/>
      </c>
      <c r="K44" s="51" t="n"/>
      <c r="L44" s="41" t="inlineStr">
        <is>
          <t>Always</t>
        </is>
      </c>
      <c r="M44" t="n">
        <v>-1</v>
      </c>
      <c r="N44" t="n">
        <v>-1</v>
      </c>
      <c r="O44" t="inlineStr">
        <is>
          <t>None</t>
        </is>
      </c>
      <c r="P44" t="n">
        <v>-1</v>
      </c>
      <c r="Q44" t="n">
        <v>-1</v>
      </c>
    </row>
    <row r="45" ht="17.25" customHeight="1">
      <c r="A45" t="n">
        <v>10101207</v>
      </c>
      <c r="B45" t="n">
        <v>1</v>
      </c>
      <c r="C45" s="24">
        <f>_xlfn.XLOOKUP(PassiveProperty[[#This Row],[id]],Passive[passive_property_id],Passive['#effect_group],"__",0)</f>
        <v/>
      </c>
      <c r="D45">
        <f>_xlfn.XLOOKUP(PassiveProperty[[#This Row],[id]],Passive[id],Passive['#effect_memo],"__",0)</f>
        <v/>
      </c>
      <c r="E45" t="n">
        <v>0</v>
      </c>
      <c r="F45" t="n">
        <v>0</v>
      </c>
      <c r="I45" s="26">
        <f>PassiveProperty[[#This Row],[id]]*10+PassiveProperty[[#This Row],[property_id]]</f>
        <v/>
      </c>
      <c r="K45" s="51" t="n"/>
      <c r="L45" s="41" t="inlineStr">
        <is>
          <t>Always</t>
        </is>
      </c>
      <c r="M45" t="n">
        <v>-1</v>
      </c>
      <c r="N45" t="n">
        <v>-1</v>
      </c>
      <c r="O45" t="inlineStr">
        <is>
          <t>None</t>
        </is>
      </c>
      <c r="P45" t="n">
        <v>-1</v>
      </c>
      <c r="Q45" t="n">
        <v>-1</v>
      </c>
    </row>
    <row r="46" ht="17.25" customHeight="1">
      <c r="A46" t="n">
        <v>10101208</v>
      </c>
      <c r="B46" t="n">
        <v>1</v>
      </c>
      <c r="C46" s="24">
        <f>_xlfn.XLOOKUP(PassiveProperty[[#This Row],[id]],Passive[passive_property_id],Passive['#effect_group],"__",0)</f>
        <v/>
      </c>
      <c r="D46">
        <f>_xlfn.XLOOKUP(PassiveProperty[[#This Row],[id]],Passive[id],Passive['#effect_memo],"__",0)</f>
        <v/>
      </c>
      <c r="E46" t="n">
        <v>0</v>
      </c>
      <c r="F46" t="n">
        <v>0</v>
      </c>
      <c r="I46" s="26">
        <f>PassiveProperty[[#This Row],[id]]*10+PassiveProperty[[#This Row],[property_id]]</f>
        <v/>
      </c>
      <c r="K46" s="51" t="n"/>
      <c r="L46" s="41" t="inlineStr">
        <is>
          <t>Always</t>
        </is>
      </c>
      <c r="M46" t="n">
        <v>-1</v>
      </c>
      <c r="N46" t="n">
        <v>-1</v>
      </c>
      <c r="O46" t="inlineStr">
        <is>
          <t>None</t>
        </is>
      </c>
      <c r="P46" t="n">
        <v>-1</v>
      </c>
      <c r="Q46" t="n">
        <v>-1</v>
      </c>
    </row>
    <row r="47" ht="17.25" customFormat="1" customHeight="1" s="36" thickBot="1">
      <c r="A47" s="36" t="n">
        <v>10101209</v>
      </c>
      <c r="B47" s="36" t="n">
        <v>1</v>
      </c>
      <c r="C47" s="37">
        <f>_xlfn.XLOOKUP(PassiveProperty[[#This Row],[id]],Passive[passive_property_id],Passive['#effect_group],"__",0)</f>
        <v/>
      </c>
      <c r="D47" s="36">
        <f>_xlfn.XLOOKUP(PassiveProperty[[#This Row],[id]],Passive[id],Passive['#effect_memo],"__",0)</f>
        <v/>
      </c>
      <c r="E47" s="36" t="n">
        <v>0</v>
      </c>
      <c r="F47" s="36" t="n">
        <v>0</v>
      </c>
      <c r="I47" s="39">
        <f>PassiveProperty[[#This Row],[id]]*10+PassiveProperty[[#This Row],[property_id]]</f>
        <v/>
      </c>
      <c r="J47" s="42" t="n"/>
      <c r="K47" s="52" t="n"/>
      <c r="L47" s="42" t="inlineStr">
        <is>
          <t>Always</t>
        </is>
      </c>
      <c r="M47" s="36" t="n">
        <v>-1</v>
      </c>
      <c r="N47" s="36" t="n">
        <v>-1</v>
      </c>
      <c r="O47" s="36" t="inlineStr">
        <is>
          <t>None</t>
        </is>
      </c>
      <c r="P47" s="36" t="n">
        <v>-1</v>
      </c>
      <c r="Q47" s="36" t="n">
        <v>-1</v>
      </c>
    </row>
    <row r="48">
      <c r="A48" t="n">
        <v>100100</v>
      </c>
      <c r="B48" t="n">
        <v>1</v>
      </c>
      <c r="C48" s="24">
        <f>_xlfn.XLOOKUP(PassiveProperty[[#This Row],[id]],Passive[passive_property_id],Passive['#effect_group],"__",0)</f>
        <v/>
      </c>
      <c r="D48">
        <f>_xlfn.XLOOKUP(PassiveProperty[[#This Row],[id]],Passive[id],Passive['#effect_memo],"__",0)</f>
        <v/>
      </c>
      <c r="E48" t="n">
        <v>0</v>
      </c>
      <c r="F48" t="n">
        <v>0</v>
      </c>
      <c r="I48" s="26">
        <f>PassiveProperty[[#This Row],[id]]*10+PassiveProperty[[#This Row],[property_id]]</f>
        <v/>
      </c>
      <c r="K48" s="51" t="n"/>
      <c r="L48" s="41" t="inlineStr">
        <is>
          <t>DamageTakenHPPercentCompareForDefer</t>
        </is>
      </c>
      <c r="M48" t="n">
        <v>3000</v>
      </c>
      <c r="N48" t="n">
        <v>4</v>
      </c>
      <c r="O48" t="inlineStr">
        <is>
          <t>None</t>
        </is>
      </c>
      <c r="P48" t="n">
        <v>-1</v>
      </c>
      <c r="Q48" t="n">
        <v>-1</v>
      </c>
    </row>
    <row r="49">
      <c r="A49" t="n">
        <v>200100</v>
      </c>
      <c r="B49" t="n">
        <v>1</v>
      </c>
      <c r="C49" s="24">
        <f>_xlfn.XLOOKUP(PassiveProperty[[#This Row],[id]],Passive[passive_property_id],Passive['#effect_group],"__",0)</f>
        <v/>
      </c>
      <c r="D49" t="inlineStr">
        <is>
          <t>적 처치 시 탄창 회복</t>
        </is>
      </c>
      <c r="E49" t="n">
        <v>0</v>
      </c>
      <c r="F49" t="n">
        <v>0</v>
      </c>
      <c r="I49" s="26">
        <f>PassiveProperty[[#This Row],[id]]*10+PassiveProperty[[#This Row],[property_id]]</f>
        <v/>
      </c>
      <c r="K49" s="51" t="n">
        <v>200130</v>
      </c>
      <c r="L49" s="41" t="inlineStr">
        <is>
          <t>KillTarget</t>
        </is>
      </c>
      <c r="M49" t="n">
        <v>10000</v>
      </c>
      <c r="N49" t="n">
        <v>-1</v>
      </c>
      <c r="O49" t="inlineStr">
        <is>
          <t>None</t>
        </is>
      </c>
      <c r="P49" t="n">
        <v>-1</v>
      </c>
      <c r="Q49" t="n">
        <v>-1</v>
      </c>
    </row>
    <row r="50">
      <c r="A50" t="n">
        <v>200100</v>
      </c>
      <c r="B50" t="n">
        <v>2</v>
      </c>
      <c r="C50" s="24">
        <f>_xlfn.XLOOKUP(PassiveProperty[[#This Row],[id]],Passive[passive_property_id],Passive['#effect_group],"__",0)</f>
        <v/>
      </c>
      <c r="D50" s="45" t="inlineStr">
        <is>
          <t>적 처치 시, 전투 자극제 연장</t>
        </is>
      </c>
      <c r="E50" t="n">
        <v>0</v>
      </c>
      <c r="F50" t="n">
        <v>0</v>
      </c>
      <c r="I50" s="26">
        <f>PassiveProperty[[#This Row],[id]]*10+PassiveProperty[[#This Row],[property_id]]</f>
        <v/>
      </c>
      <c r="J50" s="41" t="n">
        <v>2001101</v>
      </c>
      <c r="K50" s="51" t="n"/>
      <c r="L50" s="41" t="inlineStr">
        <is>
          <t>KillTarget</t>
        </is>
      </c>
      <c r="M50" t="n">
        <v>10000</v>
      </c>
      <c r="N50" t="n">
        <v>-1</v>
      </c>
      <c r="O50" t="inlineStr">
        <is>
          <t>None</t>
        </is>
      </c>
      <c r="P50" t="n">
        <v>-1</v>
      </c>
      <c r="Q50" t="n">
        <v>-1</v>
      </c>
    </row>
    <row r="51">
      <c r="A51" t="n">
        <v>200100</v>
      </c>
      <c r="B51" t="n">
        <v>3</v>
      </c>
      <c r="C51" s="24">
        <f>_xlfn.XLOOKUP(PassiveProperty[[#This Row],[id]],Passive[passive_property_id],Passive['#effect_group],"__",0)</f>
        <v/>
      </c>
      <c r="D51" t="inlineStr">
        <is>
          <t>자신 탄환이 다른 아군 방벽 통과 시 피해량 증가</t>
        </is>
      </c>
      <c r="E51" t="n">
        <v>0</v>
      </c>
      <c r="F51" t="n">
        <v>0</v>
      </c>
      <c r="I51" s="26">
        <f>PassiveProperty[[#This Row],[id]]*10+PassiveProperty[[#This Row],[property_id]]</f>
        <v/>
      </c>
      <c r="K51" s="51" t="n"/>
      <c r="L51" s="41" t="inlineStr">
        <is>
          <t>Always</t>
        </is>
      </c>
      <c r="M51" t="n">
        <v>-1</v>
      </c>
      <c r="N51" t="n">
        <v>-1</v>
      </c>
      <c r="O51" t="inlineStr">
        <is>
          <t>None</t>
        </is>
      </c>
      <c r="P51" t="n">
        <v>-1</v>
      </c>
      <c r="Q51" t="n">
        <v>-1</v>
      </c>
    </row>
    <row r="52">
      <c r="A52" t="n">
        <v>200130</v>
      </c>
      <c r="B52" t="n">
        <v>1</v>
      </c>
      <c r="C52" s="24">
        <f>_xlfn.XLOOKUP(PassiveProperty[[#This Row],[id]],Passive[passive_property_id],Passive['#effect_group],"__",0)</f>
        <v/>
      </c>
      <c r="D52">
        <f>_xlfn.XLOOKUP(PassiveProperty[[#This Row],[id]],Passive[id],Passive['#effect_memo],"__",0)</f>
        <v/>
      </c>
      <c r="E52" t="n">
        <v>0</v>
      </c>
      <c r="F52" t="n">
        <v>0</v>
      </c>
      <c r="I52" s="26">
        <f>PassiveProperty[[#This Row],[id]]*10+PassiveProperty[[#This Row],[property_id]]</f>
        <v/>
      </c>
      <c r="K52" s="51" t="n"/>
      <c r="L52" s="41" t="inlineStr">
        <is>
          <t>Always</t>
        </is>
      </c>
      <c r="M52" t="n">
        <v>-1</v>
      </c>
      <c r="N52" t="n">
        <v>-1</v>
      </c>
      <c r="O52" t="inlineStr">
        <is>
          <t>None</t>
        </is>
      </c>
      <c r="P52" t="n">
        <v>-1</v>
      </c>
      <c r="Q52" t="n">
        <v>-1</v>
      </c>
    </row>
    <row r="53">
      <c r="A53" s="50" t="n">
        <v>300100</v>
      </c>
      <c r="B53" t="n">
        <v>1</v>
      </c>
      <c r="C53" s="24">
        <f>_xlfn.XLOOKUP(PassiveProperty[[#This Row],[id]],Passive[passive_property_id],Passive['#effect_group],"__",0)</f>
        <v/>
      </c>
      <c r="D53">
        <f>_xlfn.XLOOKUP(PassiveProperty[[#This Row],[id]],Passive[id],Passive['#effect_memo],"__",0)</f>
        <v/>
      </c>
      <c r="E53" t="n">
        <v>0</v>
      </c>
      <c r="F53" t="n">
        <v>1000</v>
      </c>
      <c r="I53" s="26">
        <f>PassiveProperty[[#This Row],[id]]*10+PassiveProperty[[#This Row],[property_id]]</f>
        <v/>
      </c>
      <c r="K53" s="51" t="n"/>
      <c r="L53" s="41" t="inlineStr">
        <is>
          <t>KillTargetNearbyEnemySource</t>
        </is>
      </c>
      <c r="M53" t="n">
        <v>3000</v>
      </c>
      <c r="N53" t="n">
        <v>5</v>
      </c>
      <c r="O53" t="inlineStr">
        <is>
          <t>None</t>
        </is>
      </c>
      <c r="P53" t="n">
        <v>-1</v>
      </c>
      <c r="Q53" t="n">
        <v>-1</v>
      </c>
    </row>
    <row r="54">
      <c r="A54" s="50" t="n">
        <v>300100</v>
      </c>
      <c r="B54" t="n">
        <v>2</v>
      </c>
      <c r="C54" s="24">
        <f>_xlfn.XLOOKUP(PassiveProperty[[#This Row],[id]],Passive[passive_property_id],Passive['#effect_group],"__",0)</f>
        <v/>
      </c>
      <c r="D54">
        <f>_xlfn.XLOOKUP(PassiveProperty[[#This Row],[id]],Passive[id],Passive['#effect_memo],"__",0)</f>
        <v/>
      </c>
      <c r="E54" t="n">
        <v>0</v>
      </c>
      <c r="F54" t="n">
        <v>1000</v>
      </c>
      <c r="I54" s="26">
        <f>PassiveProperty[[#This Row],[id]]*10+PassiveProperty[[#This Row],[property_id]]</f>
        <v/>
      </c>
      <c r="K54" s="51" t="n"/>
      <c r="L54" s="41" t="inlineStr">
        <is>
          <t>KillTarget</t>
        </is>
      </c>
      <c r="M54" t="n">
        <v>10000</v>
      </c>
      <c r="N54" t="n">
        <v>-1</v>
      </c>
      <c r="O54" t="inlineStr">
        <is>
          <t>None</t>
        </is>
      </c>
      <c r="P54" t="n">
        <v>-1</v>
      </c>
      <c r="Q54" t="n">
        <v>-1</v>
      </c>
    </row>
    <row r="55">
      <c r="A55" s="53" t="n">
        <v>300130</v>
      </c>
      <c r="B55" t="n">
        <v>1</v>
      </c>
      <c r="C55" s="24">
        <f>_xlfn.XLOOKUP(PassiveProperty[[#This Row],[id]],Passive[passive_property_id],Passive['#effect_group],"__",0)</f>
        <v/>
      </c>
      <c r="D55">
        <f>_xlfn.XLOOKUP(PassiveProperty[[#This Row],[id]],Passive[id],Passive['#effect_memo],"__",0)</f>
        <v/>
      </c>
      <c r="E55" t="n">
        <v>0</v>
      </c>
      <c r="F55" t="n">
        <v>120000</v>
      </c>
      <c r="I55" s="26">
        <f>PassiveProperty[[#This Row],[id]]*10+PassiveProperty[[#This Row],[property_id]]</f>
        <v/>
      </c>
      <c r="K55" s="51" t="n"/>
      <c r="L55" s="41" t="inlineStr">
        <is>
          <t>Always</t>
        </is>
      </c>
      <c r="M55" t="n">
        <v>-1</v>
      </c>
      <c r="N55" t="n">
        <v>-1</v>
      </c>
      <c r="O55" t="inlineStr">
        <is>
          <t>None</t>
        </is>
      </c>
      <c r="P55" t="n">
        <v>-1</v>
      </c>
      <c r="Q55" t="n">
        <v>-1</v>
      </c>
    </row>
    <row r="56">
      <c r="A56" t="n">
        <v>400100</v>
      </c>
      <c r="B56" t="n">
        <v>1</v>
      </c>
      <c r="C56" s="24">
        <f>_xlfn.XLOOKUP(PassiveProperty[[#This Row],[id]],Passive[passive_property_id],Passive['#effect_group],"__",0)</f>
        <v/>
      </c>
      <c r="D56">
        <f>_xlfn.XLOOKUP(PassiveProperty[[#This Row],[id]],Passive[id],Passive['#effect_memo],"__",0)</f>
        <v/>
      </c>
      <c r="E56" t="n">
        <v>0</v>
      </c>
      <c r="F56" t="n">
        <v>0</v>
      </c>
      <c r="I56" s="26">
        <f>PassiveProperty[[#This Row],[id]]*10+PassiveProperty[[#This Row],[property_id]]</f>
        <v/>
      </c>
      <c r="K56" s="51" t="n"/>
      <c r="L56" s="41" t="inlineStr">
        <is>
          <t>EnemyActionInRange</t>
        </is>
      </c>
      <c r="M56" t="n">
        <v>5000</v>
      </c>
      <c r="N56" t="n">
        <v>0</v>
      </c>
      <c r="O56" t="inlineStr">
        <is>
          <t>None</t>
        </is>
      </c>
      <c r="P56" t="n">
        <v>-1</v>
      </c>
      <c r="Q56" t="n">
        <v>-1</v>
      </c>
    </row>
    <row r="57">
      <c r="A57" t="n">
        <v>400100</v>
      </c>
      <c r="B57" t="n">
        <v>2</v>
      </c>
      <c r="C57" s="24">
        <f>_xlfn.XLOOKUP(PassiveProperty[[#This Row],[id]],Passive[passive_property_id],Passive['#effect_group],"__",0)</f>
        <v/>
      </c>
      <c r="D57" t="inlineStr">
        <is>
          <t>주파수 감지를 n회 성공하면 궁극기 게이지 충전</t>
        </is>
      </c>
      <c r="E57" t="n">
        <v>0</v>
      </c>
      <c r="F57" t="n">
        <v>0</v>
      </c>
      <c r="I57" s="26">
        <f>PassiveProperty[[#This Row],[id]]*10+PassiveProperty[[#This Row],[property_id]]</f>
        <v/>
      </c>
      <c r="K57" s="51" t="n"/>
      <c r="L57" s="41" t="inlineStr">
        <is>
          <t>ApplyPassiveEffect</t>
        </is>
      </c>
      <c r="M57" t="n">
        <v>4001001</v>
      </c>
      <c r="N57" t="n">
        <v>3</v>
      </c>
      <c r="O57" t="inlineStr">
        <is>
          <t>None</t>
        </is>
      </c>
      <c r="P57" t="n">
        <v>-1</v>
      </c>
      <c r="Q57" t="n">
        <v>-1</v>
      </c>
    </row>
    <row r="58">
      <c r="A58" t="n">
        <v>400300</v>
      </c>
      <c r="B58" t="n">
        <v>1</v>
      </c>
      <c r="C58" s="24">
        <f>_xlfn.XLOOKUP(PassiveProperty[[#This Row],[id]],Passive[passive_property_id],Passive['#effect_group],"__",0)</f>
        <v/>
      </c>
      <c r="D58">
        <f>_xlfn.XLOOKUP(PassiveProperty[[#This Row],[id]],Passive[id],Passive['#effect_memo],"__",0)</f>
        <v/>
      </c>
      <c r="E58" t="n">
        <v>0</v>
      </c>
      <c r="F58" t="n">
        <v>500</v>
      </c>
      <c r="I58" s="26">
        <f>PassiveProperty[[#This Row],[id]]*10+PassiveProperty[[#This Row],[property_id]]</f>
        <v/>
      </c>
      <c r="K58" s="51" t="n"/>
      <c r="L58" s="41" t="inlineStr">
        <is>
          <t>Always</t>
        </is>
      </c>
      <c r="M58" t="n">
        <v>-1</v>
      </c>
      <c r="N58" t="n">
        <v>-1</v>
      </c>
      <c r="O58" t="inlineStr">
        <is>
          <t>None</t>
        </is>
      </c>
      <c r="P58" t="n">
        <v>-1</v>
      </c>
      <c r="Q58" t="n">
        <v>-1</v>
      </c>
    </row>
    <row r="59">
      <c r="A59" t="n">
        <v>400400</v>
      </c>
      <c r="B59" t="n">
        <v>1</v>
      </c>
      <c r="C59" s="24">
        <f>_xlfn.XLOOKUP(PassiveProperty[[#This Row],[id]],Passive[passive_property_id],Passive['#effect_group],"__",0)</f>
        <v/>
      </c>
      <c r="D59" t="inlineStr">
        <is>
          <t>죽기 전 펄스 방출 (적 디버프 및 스킬웨폰 파괴)</t>
        </is>
      </c>
      <c r="E59" t="n">
        <v>0</v>
      </c>
      <c r="F59" t="n">
        <v>0</v>
      </c>
      <c r="I59" s="26">
        <f>PassiveProperty[[#This Row],[id]]*10+PassiveProperty[[#This Row],[property_id]]</f>
        <v/>
      </c>
      <c r="K59" s="51" t="n"/>
      <c r="L59" s="41" t="inlineStr">
        <is>
          <t>OwnDeath</t>
        </is>
      </c>
      <c r="M59" t="n">
        <v>10000</v>
      </c>
      <c r="N59" t="n">
        <v>2</v>
      </c>
      <c r="O59" t="inlineStr">
        <is>
          <t>None</t>
        </is>
      </c>
      <c r="P59" t="n">
        <v>-1</v>
      </c>
      <c r="Q59" t="n">
        <v>-1</v>
      </c>
    </row>
    <row r="60">
      <c r="A60" t="n">
        <v>400400</v>
      </c>
      <c r="B60" t="n">
        <v>2</v>
      </c>
      <c r="C60" s="24">
        <f>_xlfn.XLOOKUP(PassiveProperty[[#This Row],[id]],Passive[passive_property_id],Passive['#effect_group],"__",0)</f>
        <v/>
      </c>
      <c r="D60" t="inlineStr">
        <is>
          <t>죽기 전 펄스 방출 (스킬오브젝트 파괴)</t>
        </is>
      </c>
      <c r="E60" t="n">
        <v>0</v>
      </c>
      <c r="F60" t="n">
        <v>0</v>
      </c>
      <c r="I60" s="26">
        <f>PassiveProperty[[#This Row],[id]]*10+PassiveProperty[[#This Row],[property_id]]</f>
        <v/>
      </c>
      <c r="K60" s="51" t="n"/>
      <c r="L60" s="41" t="inlineStr">
        <is>
          <t>OwnDeath</t>
        </is>
      </c>
      <c r="M60" t="n">
        <v>10000</v>
      </c>
      <c r="N60" t="n">
        <v>2</v>
      </c>
      <c r="O60" t="inlineStr">
        <is>
          <t>None</t>
        </is>
      </c>
      <c r="P60" t="n">
        <v>-1</v>
      </c>
      <c r="Q60" t="n">
        <v>-1</v>
      </c>
    </row>
    <row r="61">
      <c r="A61" t="n">
        <v>400400</v>
      </c>
      <c r="B61" t="n">
        <v>3</v>
      </c>
      <c r="C61" s="24">
        <f>_xlfn.XLOOKUP(PassiveProperty[[#This Row],[id]],Passive[passive_property_id],Passive['#effect_group],"__",0)</f>
        <v/>
      </c>
      <c r="D61" t="inlineStr">
        <is>
          <t>죽기 전 펄스 방출 (상호작용차단)</t>
        </is>
      </c>
      <c r="E61" t="n">
        <v>0</v>
      </c>
      <c r="F61" t="n">
        <v>0</v>
      </c>
      <c r="I61" s="26">
        <f>PassiveProperty[[#This Row],[id]]*10+PassiveProperty[[#This Row],[property_id]]</f>
        <v/>
      </c>
      <c r="K61" s="51" t="n"/>
      <c r="L61" s="41" t="inlineStr">
        <is>
          <t>OwnDeath</t>
        </is>
      </c>
      <c r="M61" t="n">
        <v>10000</v>
      </c>
      <c r="N61" t="n">
        <v>2</v>
      </c>
      <c r="O61" t="inlineStr">
        <is>
          <t>None</t>
        </is>
      </c>
      <c r="P61" t="n">
        <v>-1</v>
      </c>
      <c r="Q61" t="n">
        <v>-1</v>
      </c>
    </row>
    <row r="62">
      <c r="A62" t="n">
        <v>400400</v>
      </c>
      <c r="B62" t="n">
        <v>4</v>
      </c>
      <c r="C62" s="24">
        <f>_xlfn.XLOOKUP(PassiveProperty[[#This Row],[id]],Passive[passive_property_id],Passive['#effect_group],"__",0)</f>
        <v/>
      </c>
      <c r="D62" t="inlineStr">
        <is>
          <t>죽기 전 펄스 방출 (공격으로 인해 파괴되었을 때 약화버전 소환)</t>
        </is>
      </c>
      <c r="E62" t="n">
        <v>0</v>
      </c>
      <c r="F62" t="n">
        <v>0</v>
      </c>
      <c r="I62" s="26">
        <f>PassiveProperty[[#This Row],[id]]*10+PassiveProperty[[#This Row],[property_id]]</f>
        <v/>
      </c>
      <c r="K62" s="51" t="n"/>
      <c r="L62" s="41" t="inlineStr">
        <is>
          <t>OwnDeath</t>
        </is>
      </c>
      <c r="M62" t="n">
        <v>10000</v>
      </c>
      <c r="N62" t="n">
        <v>1</v>
      </c>
      <c r="O62" t="inlineStr">
        <is>
          <t>None</t>
        </is>
      </c>
      <c r="P62" t="n">
        <v>-1</v>
      </c>
      <c r="Q62" t="n">
        <v>-1</v>
      </c>
    </row>
    <row r="63">
      <c r="A63" t="n">
        <v>400500</v>
      </c>
      <c r="B63" t="n">
        <v>1</v>
      </c>
      <c r="C63" s="24">
        <f>_xlfn.XLOOKUP(PassiveProperty[[#This Row],[id]],Passive[passive_property_id],Passive['#effect_group],"__",0)</f>
        <v/>
      </c>
      <c r="D63" t="inlineStr">
        <is>
          <t>죽기 전 펄스 방출 (적 디버프 및 스킬웨폰 파괴)</t>
        </is>
      </c>
      <c r="E63" t="n">
        <v>0</v>
      </c>
      <c r="F63" t="n">
        <v>0</v>
      </c>
      <c r="I63" s="26">
        <f>PassiveProperty[[#This Row],[id]]*10+PassiveProperty[[#This Row],[property_id]]</f>
        <v/>
      </c>
      <c r="K63" s="51" t="n"/>
      <c r="L63" s="41" t="inlineStr">
        <is>
          <t>OwnDeath</t>
        </is>
      </c>
      <c r="M63" t="n">
        <v>10000</v>
      </c>
      <c r="N63" t="n">
        <v>0</v>
      </c>
      <c r="O63" t="inlineStr">
        <is>
          <t>None</t>
        </is>
      </c>
      <c r="P63" t="n">
        <v>-1</v>
      </c>
      <c r="Q63" t="n">
        <v>-1</v>
      </c>
    </row>
    <row r="64">
      <c r="A64" t="n">
        <v>400500</v>
      </c>
      <c r="B64" t="n">
        <v>2</v>
      </c>
      <c r="C64" s="24">
        <f>_xlfn.XLOOKUP(PassiveProperty[[#This Row],[id]],Passive[passive_property_id],Passive['#effect_group],"__",0)</f>
        <v/>
      </c>
      <c r="D64" t="inlineStr">
        <is>
          <t>죽기 전 펄스 방출 (스킬오브젝트 파괴)</t>
        </is>
      </c>
      <c r="E64" t="n">
        <v>0</v>
      </c>
      <c r="F64" t="n">
        <v>0</v>
      </c>
      <c r="I64" s="26">
        <f>PassiveProperty[[#This Row],[id]]*10+PassiveProperty[[#This Row],[property_id]]</f>
        <v/>
      </c>
      <c r="K64" s="51" t="n"/>
      <c r="L64" s="41" t="inlineStr">
        <is>
          <t>OwnDeath</t>
        </is>
      </c>
      <c r="M64" t="n">
        <v>10000</v>
      </c>
      <c r="N64" t="n">
        <v>0</v>
      </c>
      <c r="O64" t="inlineStr">
        <is>
          <t>None</t>
        </is>
      </c>
      <c r="P64" t="n">
        <v>-1</v>
      </c>
      <c r="Q64" t="n">
        <v>-1</v>
      </c>
    </row>
    <row r="65">
      <c r="A65" t="n">
        <v>400500</v>
      </c>
      <c r="B65" t="n">
        <v>3</v>
      </c>
      <c r="C65" s="24">
        <f>_xlfn.XLOOKUP(PassiveProperty[[#This Row],[id]],Passive[passive_property_id],Passive['#effect_group],"__",0)</f>
        <v/>
      </c>
      <c r="D65" t="inlineStr">
        <is>
          <t>죽기 전 펄스 방출 (상호작용차단)</t>
        </is>
      </c>
      <c r="E65" t="n">
        <v>0</v>
      </c>
      <c r="F65" t="n">
        <v>0</v>
      </c>
      <c r="I65" s="26">
        <f>PassiveProperty[[#This Row],[id]]*10+PassiveProperty[[#This Row],[property_id]]</f>
        <v/>
      </c>
      <c r="K65" s="51" t="n"/>
      <c r="L65" s="41" t="inlineStr">
        <is>
          <t>OwnDeath</t>
        </is>
      </c>
      <c r="M65" t="n">
        <v>10000</v>
      </c>
      <c r="N65" t="n">
        <v>0</v>
      </c>
      <c r="O65" t="inlineStr">
        <is>
          <t>None</t>
        </is>
      </c>
      <c r="P65" t="n">
        <v>-1</v>
      </c>
      <c r="Q65" t="n">
        <v>-1</v>
      </c>
    </row>
    <row r="66">
      <c r="A66" t="n">
        <v>400600</v>
      </c>
      <c r="B66" t="n">
        <v>1</v>
      </c>
      <c r="C66" s="24">
        <f>_xlfn.XLOOKUP(PassiveProperty[[#This Row],[id]],Passive[passive_property_id],Passive['#effect_group],"__",0)</f>
        <v/>
      </c>
      <c r="D66">
        <f>_xlfn.XLOOKUP(PassiveProperty[[#This Row],[id]],Passive[id],Passive['#effect_memo],"__",0)</f>
        <v/>
      </c>
      <c r="E66" t="n">
        <v>0</v>
      </c>
      <c r="F66" t="n">
        <v>1000</v>
      </c>
      <c r="I66" s="26">
        <f>PassiveProperty[[#This Row],[id]]*10+PassiveProperty[[#This Row],[property_id]]</f>
        <v/>
      </c>
      <c r="K66" s="51" t="n"/>
      <c r="L66" s="41" t="inlineStr">
        <is>
          <t>Always</t>
        </is>
      </c>
      <c r="M66" t="n">
        <v>-1</v>
      </c>
      <c r="N66" t="n">
        <v>-1</v>
      </c>
      <c r="O66" t="inlineStr">
        <is>
          <t>None</t>
        </is>
      </c>
      <c r="P66" t="n">
        <v>-1</v>
      </c>
      <c r="Q66" t="n">
        <v>-1</v>
      </c>
    </row>
    <row r="67">
      <c r="A67" t="n">
        <v>5100101</v>
      </c>
      <c r="B67" t="n">
        <v>1</v>
      </c>
      <c r="C67" s="24">
        <f>_xlfn.XLOOKUP(PassiveProperty[[#This Row],[id]],Passive[passive_property_id],Passive['#effect_group],"__",0)</f>
        <v/>
      </c>
      <c r="D67">
        <f>_xlfn.XLOOKUP(PassiveProperty[[#This Row],[id]],Passive[id],Passive['#effect_memo],"__",0)</f>
        <v/>
      </c>
      <c r="E67" t="n">
        <v>0</v>
      </c>
      <c r="F67" t="n">
        <v>0</v>
      </c>
      <c r="I67" s="26">
        <f>PassiveProperty[[#This Row],[id]]*10+PassiveProperty[[#This Row],[property_id]]</f>
        <v/>
      </c>
      <c r="K67" s="51" t="n"/>
      <c r="L67" s="41" t="inlineStr">
        <is>
          <t>Always</t>
        </is>
      </c>
      <c r="M67" t="n">
        <v>-1</v>
      </c>
      <c r="N67" t="n">
        <v>-1</v>
      </c>
      <c r="O67" t="inlineStr">
        <is>
          <t>None</t>
        </is>
      </c>
      <c r="P67" t="n">
        <v>-1</v>
      </c>
      <c r="Q67" t="n">
        <v>-1</v>
      </c>
    </row>
    <row r="68">
      <c r="A68" t="n">
        <v>5100101</v>
      </c>
      <c r="B68" t="n">
        <v>2</v>
      </c>
      <c r="C68" s="24">
        <f>_xlfn.XLOOKUP(PassiveProperty[[#This Row],[id]],Passive[passive_property_id],Passive['#effect_group],"__",0)</f>
        <v/>
      </c>
      <c r="D68">
        <f>_xlfn.XLOOKUP(PassiveProperty[[#This Row],[id]],Passive[id],Passive['#effect_memo],"__",0)</f>
        <v/>
      </c>
      <c r="E68" t="n">
        <v>0</v>
      </c>
      <c r="F68" t="n">
        <v>1000</v>
      </c>
      <c r="I68" s="26">
        <f>PassiveProperty[[#This Row],[id]]*10+PassiveProperty[[#This Row],[property_id]]</f>
        <v/>
      </c>
      <c r="K68" s="51" t="n"/>
      <c r="L68" s="41" t="inlineStr">
        <is>
          <t>GetAssistOrKill</t>
        </is>
      </c>
      <c r="M68" t="n">
        <v>1</v>
      </c>
      <c r="N68" t="n">
        <v>10000</v>
      </c>
      <c r="O68" t="inlineStr">
        <is>
          <t>None</t>
        </is>
      </c>
      <c r="P68" t="n">
        <v>-1</v>
      </c>
      <c r="Q68" t="n">
        <v>-1</v>
      </c>
    </row>
    <row r="69">
      <c r="A69" t="n">
        <v>5100102</v>
      </c>
      <c r="B69" t="n">
        <v>1</v>
      </c>
      <c r="C69" s="24">
        <f>_xlfn.XLOOKUP(PassiveProperty[[#This Row],[id]],Passive[passive_property_id],Passive['#effect_group],"__",0)</f>
        <v/>
      </c>
      <c r="D69">
        <f>_xlfn.XLOOKUP(PassiveProperty[[#This Row],[id]],Passive[id],Passive['#effect_memo],"__",0)</f>
        <v/>
      </c>
      <c r="E69" t="n">
        <v>0</v>
      </c>
      <c r="F69" t="n">
        <v>1000</v>
      </c>
      <c r="I69" s="26">
        <f>PassiveProperty[[#This Row],[id]]*10+PassiveProperty[[#This Row],[property_id]]</f>
        <v/>
      </c>
      <c r="K69" s="51" t="n"/>
      <c r="L69" s="41" t="inlineStr">
        <is>
          <t>SkillWeaponShattered</t>
        </is>
      </c>
      <c r="M69" t="n">
        <v>210014</v>
      </c>
      <c r="N69" t="n">
        <v>-1</v>
      </c>
      <c r="O69" t="inlineStr">
        <is>
          <t>None</t>
        </is>
      </c>
      <c r="P69" t="n">
        <v>-1</v>
      </c>
      <c r="Q69" t="n">
        <v>-1</v>
      </c>
    </row>
    <row r="70">
      <c r="A70" t="n">
        <v>5100103</v>
      </c>
      <c r="B70" t="n">
        <v>1</v>
      </c>
      <c r="C70" s="24">
        <f>_xlfn.XLOOKUP(PassiveProperty[[#This Row],[id]],Passive[passive_property_id],Passive['#effect_group],"__",0)</f>
        <v/>
      </c>
      <c r="D70">
        <f>_xlfn.XLOOKUP(PassiveProperty[[#This Row],[id]],Passive[id],Passive['#effect_memo],"__",0)</f>
        <v/>
      </c>
      <c r="E70" t="n">
        <v>0</v>
      </c>
      <c r="F70" t="n">
        <v>0</v>
      </c>
      <c r="I70" s="26">
        <f>PassiveProperty[[#This Row],[id]]*10+PassiveProperty[[#This Row],[property_id]]</f>
        <v/>
      </c>
      <c r="K70" s="51" t="n"/>
      <c r="L70" s="41" t="inlineStr">
        <is>
          <t>Always</t>
        </is>
      </c>
      <c r="M70" t="n">
        <v>-1</v>
      </c>
      <c r="N70" t="n">
        <v>-1</v>
      </c>
      <c r="O70" t="inlineStr">
        <is>
          <t>None</t>
        </is>
      </c>
      <c r="P70" t="n">
        <v>-1</v>
      </c>
      <c r="Q70" t="n">
        <v>-1</v>
      </c>
    </row>
    <row r="71">
      <c r="A71" t="n">
        <v>5100103</v>
      </c>
      <c r="B71" t="n">
        <v>2</v>
      </c>
      <c r="C71" s="24">
        <f>_xlfn.XLOOKUP(PassiveProperty[[#This Row],[id]],Passive[passive_property_id],Passive['#effect_group],"__",0)</f>
        <v/>
      </c>
      <c r="D71">
        <f>_xlfn.XLOOKUP(PassiveProperty[[#This Row],[id]],Passive[id],Passive['#effect_memo],"__",0)</f>
        <v/>
      </c>
      <c r="E71" t="n">
        <v>0</v>
      </c>
      <c r="F71" t="n">
        <v>0</v>
      </c>
      <c r="I71" s="26">
        <f>PassiveProperty[[#This Row],[id]]*10+PassiveProperty[[#This Row],[property_id]]</f>
        <v/>
      </c>
      <c r="K71" s="51" t="n"/>
      <c r="L71" s="41" t="inlineStr">
        <is>
          <t>IsOnPoint</t>
        </is>
      </c>
      <c r="M71" t="n">
        <v>1</v>
      </c>
      <c r="N71" t="n">
        <v>-1</v>
      </c>
      <c r="O71" t="inlineStr">
        <is>
          <t>IsOnPoint</t>
        </is>
      </c>
      <c r="P71" t="n">
        <v>0</v>
      </c>
      <c r="Q71" t="n">
        <v>-1</v>
      </c>
    </row>
    <row r="72">
      <c r="A72" t="n">
        <v>5100104</v>
      </c>
      <c r="B72" t="n">
        <v>1</v>
      </c>
      <c r="C72" s="24">
        <f>_xlfn.XLOOKUP(PassiveProperty[[#This Row],[id]],Passive[passive_property_id],Passive['#effect_group],"__",0)</f>
        <v/>
      </c>
      <c r="D72">
        <f>_xlfn.XLOOKUP(PassiveProperty[[#This Row],[id]],Passive[id],Passive['#effect_memo],"__",0)</f>
        <v/>
      </c>
      <c r="E72" t="n">
        <v>0</v>
      </c>
      <c r="F72" t="n">
        <v>0</v>
      </c>
      <c r="I72" s="26">
        <f>PassiveProperty[[#This Row],[id]]*10+PassiveProperty[[#This Row],[property_id]]</f>
        <v/>
      </c>
      <c r="K72" s="51" t="n"/>
      <c r="L72" s="41" t="inlineStr">
        <is>
          <t>Always</t>
        </is>
      </c>
      <c r="M72" t="n">
        <v>-1</v>
      </c>
      <c r="N72" t="n">
        <v>-1</v>
      </c>
      <c r="O72" t="inlineStr">
        <is>
          <t>None</t>
        </is>
      </c>
      <c r="P72" t="n">
        <v>-1</v>
      </c>
      <c r="Q72" t="n">
        <v>-1</v>
      </c>
    </row>
    <row r="73">
      <c r="A73" t="n">
        <v>5100104</v>
      </c>
      <c r="B73" t="n">
        <v>2</v>
      </c>
      <c r="C73" s="24">
        <f>_xlfn.XLOOKUP(PassiveProperty[[#This Row],[id]],Passive[passive_property_id],Passive['#effect_group],"__",0)</f>
        <v/>
      </c>
      <c r="D73">
        <f>_xlfn.XLOOKUP(PassiveProperty[[#This Row],[id]],Passive[id],Passive['#effect_memo],"__",0)</f>
        <v/>
      </c>
      <c r="E73" t="n">
        <v>0</v>
      </c>
      <c r="F73" t="n">
        <v>0</v>
      </c>
      <c r="I73" s="26">
        <f>PassiveProperty[[#This Row],[id]]*10+PassiveProperty[[#This Row],[property_id]]</f>
        <v/>
      </c>
      <c r="K73" s="51" t="n"/>
      <c r="L73" s="41" t="inlineStr">
        <is>
          <t>IsOnPoint</t>
        </is>
      </c>
      <c r="M73" t="n">
        <v>1</v>
      </c>
      <c r="N73" t="n">
        <v>-1</v>
      </c>
      <c r="O73" t="inlineStr">
        <is>
          <t>IsOnPoint</t>
        </is>
      </c>
      <c r="P73" t="n">
        <v>0</v>
      </c>
      <c r="Q73" t="n">
        <v>-1</v>
      </c>
    </row>
    <row r="74">
      <c r="A74" t="n">
        <v>5100105</v>
      </c>
      <c r="B74" t="n">
        <v>1</v>
      </c>
      <c r="C74" s="24">
        <f>_xlfn.XLOOKUP(PassiveProperty[[#This Row],[id]],Passive[passive_property_id],Passive['#effect_group],"__",0)</f>
        <v/>
      </c>
      <c r="D74">
        <f>_xlfn.XLOOKUP(PassiveProperty[[#This Row],[id]],Passive[id],Passive['#effect_memo],"__",0)</f>
        <v/>
      </c>
      <c r="E74" t="n">
        <v>0</v>
      </c>
      <c r="F74" t="n">
        <v>0</v>
      </c>
      <c r="I74" s="26">
        <f>PassiveProperty[[#This Row],[id]]*10+PassiveProperty[[#This Row],[property_id]]</f>
        <v/>
      </c>
      <c r="K74" s="51" t="n"/>
      <c r="L74" s="41" t="inlineStr">
        <is>
          <t>Always</t>
        </is>
      </c>
      <c r="M74" t="n">
        <v>-1</v>
      </c>
      <c r="N74" t="n">
        <v>-1</v>
      </c>
      <c r="O74" t="inlineStr">
        <is>
          <t>None</t>
        </is>
      </c>
      <c r="P74" t="n">
        <v>-1</v>
      </c>
      <c r="Q74" t="n">
        <v>-1</v>
      </c>
    </row>
    <row r="75">
      <c r="A75" t="n">
        <v>5100106</v>
      </c>
      <c r="B75" t="n">
        <v>1</v>
      </c>
      <c r="C75" s="24">
        <f>_xlfn.XLOOKUP(PassiveProperty[[#This Row],[id]],Passive[passive_property_id],Passive['#effect_group],"__",0)</f>
        <v/>
      </c>
      <c r="D75">
        <f>_xlfn.XLOOKUP(PassiveProperty[[#This Row],[id]],Passive[id],Passive['#effect_memo],"__",0)</f>
        <v/>
      </c>
      <c r="E75" t="n">
        <v>0</v>
      </c>
      <c r="F75" t="n">
        <v>1000</v>
      </c>
      <c r="I75" s="26">
        <f>PassiveProperty[[#This Row],[id]]*10+PassiveProperty[[#This Row],[property_id]]</f>
        <v/>
      </c>
      <c r="K75" s="51" t="n"/>
      <c r="L75" s="41" t="inlineStr">
        <is>
          <t>SkillWeaponShattered</t>
        </is>
      </c>
      <c r="M75" t="n">
        <v>210014</v>
      </c>
      <c r="N75" t="n">
        <v>-1</v>
      </c>
      <c r="O75" t="inlineStr">
        <is>
          <t>None</t>
        </is>
      </c>
      <c r="P75" t="n">
        <v>-1</v>
      </c>
      <c r="Q75" t="n">
        <v>-1</v>
      </c>
    </row>
    <row r="76">
      <c r="A76" t="n">
        <v>5200101</v>
      </c>
      <c r="B76" t="n">
        <v>1</v>
      </c>
      <c r="C76" s="24">
        <f>_xlfn.XLOOKUP(PassiveProperty[[#This Row],[id]],Passive[passive_property_id],Passive['#effect_group],"__",0)</f>
        <v/>
      </c>
      <c r="D76">
        <f>_xlfn.XLOOKUP(PassiveProperty[[#This Row],[id]],Passive[id],Passive['#effect_memo],"__",0)</f>
        <v/>
      </c>
      <c r="E76" t="n">
        <v>0</v>
      </c>
      <c r="F76" t="n">
        <v>0</v>
      </c>
      <c r="I76" s="26">
        <f>PassiveProperty[[#This Row],[id]]*10+PassiveProperty[[#This Row],[property_id]]</f>
        <v/>
      </c>
      <c r="K76" s="51" t="n"/>
      <c r="L76" s="41" t="inlineStr">
        <is>
          <t>Always</t>
        </is>
      </c>
      <c r="M76" t="n">
        <v>-1</v>
      </c>
      <c r="N76" t="n">
        <v>-1</v>
      </c>
      <c r="O76" t="inlineStr">
        <is>
          <t>None</t>
        </is>
      </c>
      <c r="P76" t="n">
        <v>-1</v>
      </c>
      <c r="Q76" t="n">
        <v>-1</v>
      </c>
    </row>
    <row r="77">
      <c r="A77" t="n">
        <v>5200102</v>
      </c>
      <c r="B77" t="n">
        <v>1</v>
      </c>
      <c r="C77" s="24">
        <f>_xlfn.XLOOKUP(PassiveProperty[[#This Row],[id]],Passive[passive_property_id],Passive['#effect_group],"__",0)</f>
        <v/>
      </c>
      <c r="D77">
        <f>_xlfn.XLOOKUP(PassiveProperty[[#This Row],[id]],Passive[id],Passive['#effect_memo],"__",0)</f>
        <v/>
      </c>
      <c r="E77" t="n">
        <v>0</v>
      </c>
      <c r="F77" t="n">
        <v>0</v>
      </c>
      <c r="I77" s="26">
        <f>PassiveProperty[[#This Row],[id]]*10+PassiveProperty[[#This Row],[property_id]]</f>
        <v/>
      </c>
      <c r="K77" s="51" t="n"/>
      <c r="L77" s="41" t="inlineStr">
        <is>
          <t>Always</t>
        </is>
      </c>
      <c r="M77" t="n">
        <v>-1</v>
      </c>
      <c r="N77" t="n">
        <v>-1</v>
      </c>
      <c r="O77" t="inlineStr">
        <is>
          <t>None</t>
        </is>
      </c>
      <c r="P77" t="n">
        <v>-1</v>
      </c>
      <c r="Q77" t="n">
        <v>-1</v>
      </c>
    </row>
    <row r="78">
      <c r="A78" t="n">
        <v>5200103</v>
      </c>
      <c r="B78" t="n">
        <v>1</v>
      </c>
      <c r="C78" s="24">
        <f>_xlfn.XLOOKUP(PassiveProperty[[#This Row],[id]],Passive[passive_property_id],Passive['#effect_group],"__",0)</f>
        <v/>
      </c>
      <c r="D78">
        <f>_xlfn.XLOOKUP(PassiveProperty[[#This Row],[id]],Passive[id],Passive['#effect_memo],"__",0)</f>
        <v/>
      </c>
      <c r="E78" t="n">
        <v>0</v>
      </c>
      <c r="F78" t="n">
        <v>0</v>
      </c>
      <c r="I78" s="26">
        <f>PassiveProperty[[#This Row],[id]]*10+PassiveProperty[[#This Row],[property_id]]</f>
        <v/>
      </c>
      <c r="K78" s="51" t="n"/>
      <c r="L78" s="41" t="inlineStr">
        <is>
          <t>Always</t>
        </is>
      </c>
      <c r="M78" t="n">
        <v>-1</v>
      </c>
      <c r="N78" t="n">
        <v>-1</v>
      </c>
      <c r="O78" t="inlineStr">
        <is>
          <t>None</t>
        </is>
      </c>
      <c r="P78" t="n">
        <v>-1</v>
      </c>
      <c r="Q78" t="n">
        <v>-1</v>
      </c>
    </row>
    <row r="79">
      <c r="A79" t="n">
        <v>5200104</v>
      </c>
      <c r="B79" t="n">
        <v>1</v>
      </c>
      <c r="C79" s="24">
        <f>_xlfn.XLOOKUP(PassiveProperty[[#This Row],[id]],Passive[passive_property_id],Passive['#effect_group],"__",0)</f>
        <v/>
      </c>
      <c r="D79">
        <f>_xlfn.XLOOKUP(PassiveProperty[[#This Row],[id]],Passive[id],Passive['#effect_memo],"__",0)</f>
        <v/>
      </c>
      <c r="E79" t="n">
        <v>0</v>
      </c>
      <c r="F79" t="n">
        <v>0</v>
      </c>
      <c r="I79" s="26">
        <f>PassiveProperty[[#This Row],[id]]*10+PassiveProperty[[#This Row],[property_id]]</f>
        <v/>
      </c>
      <c r="K79" s="51" t="n"/>
      <c r="L79" s="41" t="inlineStr">
        <is>
          <t>Always</t>
        </is>
      </c>
      <c r="M79" t="n">
        <v>-1</v>
      </c>
      <c r="N79" t="n">
        <v>-1</v>
      </c>
      <c r="O79" t="inlineStr">
        <is>
          <t>None</t>
        </is>
      </c>
      <c r="P79" t="n">
        <v>-1</v>
      </c>
      <c r="Q79" t="n">
        <v>-1</v>
      </c>
    </row>
    <row r="80">
      <c r="A80" t="n">
        <v>5200105</v>
      </c>
      <c r="B80" t="n">
        <v>1</v>
      </c>
      <c r="C80" s="24">
        <f>_xlfn.XLOOKUP(PassiveProperty[[#This Row],[id]],Passive[passive_property_id],Passive['#effect_group],"__",0)</f>
        <v/>
      </c>
      <c r="D80">
        <f>_xlfn.XLOOKUP(PassiveProperty[[#This Row],[id]],Passive[id],Passive['#effect_memo],"__",0)</f>
        <v/>
      </c>
      <c r="E80" t="n">
        <v>0</v>
      </c>
      <c r="F80" t="n">
        <v>0</v>
      </c>
      <c r="I80" s="26">
        <f>PassiveProperty[[#This Row],[id]]*10+PassiveProperty[[#This Row],[property_id]]</f>
        <v/>
      </c>
      <c r="K80" s="51" t="n"/>
      <c r="L80" s="41" t="inlineStr">
        <is>
          <t>Always</t>
        </is>
      </c>
      <c r="M80" t="n">
        <v>-1</v>
      </c>
      <c r="N80" t="n">
        <v>-1</v>
      </c>
      <c r="O80" t="inlineStr">
        <is>
          <t>None</t>
        </is>
      </c>
      <c r="P80" t="n">
        <v>-1</v>
      </c>
      <c r="Q80" t="n">
        <v>-1</v>
      </c>
    </row>
    <row r="81">
      <c r="A81" t="n">
        <v>5200106</v>
      </c>
      <c r="B81" t="n">
        <v>1</v>
      </c>
      <c r="C81" s="24">
        <f>_xlfn.XLOOKUP(PassiveProperty[[#This Row],[id]],Passive[passive_property_id],Passive['#effect_group],"__",0)</f>
        <v/>
      </c>
      <c r="D81">
        <f>_xlfn.XLOOKUP(PassiveProperty[[#This Row],[id]],Passive[id],Passive['#effect_memo],"__",0)</f>
        <v/>
      </c>
      <c r="E81" t="n">
        <v>0</v>
      </c>
      <c r="F81" t="n">
        <v>0</v>
      </c>
      <c r="I81" s="26">
        <f>PassiveProperty[[#This Row],[id]]*10+PassiveProperty[[#This Row],[property_id]]</f>
        <v/>
      </c>
      <c r="K81" s="51" t="n"/>
      <c r="L81" s="41" t="inlineStr">
        <is>
          <t>Always</t>
        </is>
      </c>
      <c r="M81" t="n">
        <v>-1</v>
      </c>
      <c r="N81" t="n">
        <v>-1</v>
      </c>
      <c r="O81" t="inlineStr">
        <is>
          <t>None</t>
        </is>
      </c>
      <c r="P81" t="n">
        <v>-1</v>
      </c>
      <c r="Q81" t="n">
        <v>-1</v>
      </c>
    </row>
    <row r="82">
      <c r="A82" t="n">
        <v>5200106</v>
      </c>
      <c r="B82" t="n">
        <v>2</v>
      </c>
      <c r="C82" s="24">
        <f>_xlfn.XLOOKUP(PassiveProperty[[#This Row],[id]],Passive[passive_property_id],Passive['#effect_group],"__",0)</f>
        <v/>
      </c>
      <c r="D82">
        <f>_xlfn.XLOOKUP(PassiveProperty[[#This Row],[id]],Passive[id],Passive['#effect_memo],"__",0)</f>
        <v/>
      </c>
      <c r="E82" t="n">
        <v>0</v>
      </c>
      <c r="F82" t="n">
        <v>0</v>
      </c>
      <c r="I82" s="26">
        <f>PassiveProperty[[#This Row],[id]]*10+PassiveProperty[[#This Row],[property_id]]</f>
        <v/>
      </c>
      <c r="K82" s="51" t="n"/>
      <c r="L82" s="41" t="inlineStr">
        <is>
          <t>Always</t>
        </is>
      </c>
      <c r="M82" t="n">
        <v>-1</v>
      </c>
      <c r="N82" t="n">
        <v>-1</v>
      </c>
      <c r="O82" t="inlineStr">
        <is>
          <t>None</t>
        </is>
      </c>
      <c r="P82" t="n">
        <v>-1</v>
      </c>
      <c r="Q82" t="n">
        <v>-1</v>
      </c>
    </row>
    <row r="83">
      <c r="A83" t="n">
        <v>5300101</v>
      </c>
      <c r="B83" t="n">
        <v>1</v>
      </c>
      <c r="C83" s="24">
        <f>_xlfn.XLOOKUP(PassiveProperty[[#This Row],[id]],Passive[passive_property_id],Passive['#effect_group],"__",0)</f>
        <v/>
      </c>
      <c r="D83">
        <f>_xlfn.XLOOKUP(PassiveProperty[[#This Row],[id]],Passive[id],Passive['#effect_memo],"__",0)</f>
        <v/>
      </c>
      <c r="E83" t="n">
        <v>0</v>
      </c>
      <c r="F83" t="n">
        <v>0</v>
      </c>
      <c r="I83" s="26">
        <f>PassiveProperty[[#This Row],[id]]*10+PassiveProperty[[#This Row],[property_id]]</f>
        <v/>
      </c>
      <c r="K83" s="51" t="n"/>
      <c r="L83" s="41" t="inlineStr">
        <is>
          <t>Always</t>
        </is>
      </c>
      <c r="M83" t="n">
        <v>-1</v>
      </c>
      <c r="N83" t="n">
        <v>-1</v>
      </c>
      <c r="O83" t="inlineStr">
        <is>
          <t>None</t>
        </is>
      </c>
      <c r="P83" t="n">
        <v>-1</v>
      </c>
      <c r="Q83" t="n">
        <v>-1</v>
      </c>
    </row>
    <row r="84">
      <c r="A84" t="n">
        <v>5300102</v>
      </c>
      <c r="B84" t="n">
        <v>1</v>
      </c>
      <c r="C84" s="24">
        <f>_xlfn.XLOOKUP(PassiveProperty[[#This Row],[id]],Passive[passive_property_id],Passive['#effect_group],"__",0)</f>
        <v/>
      </c>
      <c r="D84">
        <f>_xlfn.XLOOKUP(PassiveProperty[[#This Row],[id]],Passive[id],Passive['#effect_memo],"__",0)</f>
        <v/>
      </c>
      <c r="E84" t="n">
        <v>0</v>
      </c>
      <c r="F84" t="n">
        <v>0</v>
      </c>
      <c r="I84" s="26">
        <f>PassiveProperty[[#This Row],[id]]*10+PassiveProperty[[#This Row],[property_id]]</f>
        <v/>
      </c>
      <c r="K84" s="51" t="n"/>
      <c r="L84" s="41" t="inlineStr">
        <is>
          <t>Always</t>
        </is>
      </c>
      <c r="M84" t="n">
        <v>-1</v>
      </c>
      <c r="N84" t="n">
        <v>-1</v>
      </c>
      <c r="O84" t="inlineStr">
        <is>
          <t>None</t>
        </is>
      </c>
      <c r="P84" t="n">
        <v>-1</v>
      </c>
      <c r="Q84" t="n">
        <v>-1</v>
      </c>
    </row>
    <row r="85">
      <c r="A85" t="n">
        <v>5300103</v>
      </c>
      <c r="B85" t="n">
        <v>1</v>
      </c>
      <c r="C85" s="24">
        <f>_xlfn.XLOOKUP(PassiveProperty[[#This Row],[id]],Passive[passive_property_id],Passive['#effect_group],"__",0)</f>
        <v/>
      </c>
      <c r="D85">
        <f>_xlfn.XLOOKUP(PassiveProperty[[#This Row],[id]],Passive[id],Passive['#effect_memo],"__",0)</f>
        <v/>
      </c>
      <c r="E85" t="n">
        <v>0</v>
      </c>
      <c r="F85" t="n">
        <v>0</v>
      </c>
      <c r="I85" s="26">
        <f>PassiveProperty[[#This Row],[id]]*10+PassiveProperty[[#This Row],[property_id]]</f>
        <v/>
      </c>
      <c r="K85" s="51" t="n"/>
      <c r="L85" s="41" t="inlineStr">
        <is>
          <t>KilledEnemyRespawned</t>
        </is>
      </c>
      <c r="M85" t="n">
        <v>-1</v>
      </c>
      <c r="N85" t="n">
        <v>-1</v>
      </c>
      <c r="O85" t="inlineStr">
        <is>
          <t>None</t>
        </is>
      </c>
      <c r="P85" t="n">
        <v>-1</v>
      </c>
      <c r="Q85" t="n">
        <v>-1</v>
      </c>
    </row>
    <row r="86">
      <c r="A86" t="n">
        <v>5300104</v>
      </c>
      <c r="B86" t="n">
        <v>1</v>
      </c>
      <c r="C86" s="24">
        <f>_xlfn.XLOOKUP(PassiveProperty[[#This Row],[id]],Passive[passive_property_id],Passive['#effect_group],"__",0)</f>
        <v/>
      </c>
      <c r="D86">
        <f>_xlfn.XLOOKUP(PassiveProperty[[#This Row],[id]],Passive[id],Passive['#effect_memo],"__",0)</f>
        <v/>
      </c>
      <c r="E86" t="n">
        <v>0</v>
      </c>
      <c r="F86" t="n">
        <v>0</v>
      </c>
      <c r="I86" s="26">
        <f>PassiveProperty[[#This Row],[id]]*10+PassiveProperty[[#This Row],[property_id]]</f>
        <v/>
      </c>
      <c r="K86" s="51" t="n"/>
      <c r="L86" s="41" t="inlineStr">
        <is>
          <t>Always</t>
        </is>
      </c>
      <c r="M86" t="n">
        <v>-1</v>
      </c>
      <c r="N86" t="n">
        <v>-1</v>
      </c>
      <c r="O86" t="inlineStr">
        <is>
          <t>None</t>
        </is>
      </c>
      <c r="P86" t="n">
        <v>-1</v>
      </c>
      <c r="Q86" t="n">
        <v>-1</v>
      </c>
    </row>
    <row r="87">
      <c r="A87" t="n">
        <v>5300105</v>
      </c>
      <c r="B87" t="n">
        <v>1</v>
      </c>
      <c r="C87" s="24">
        <f>_xlfn.XLOOKUP(PassiveProperty[[#This Row],[id]],Passive[passive_property_id],Passive['#effect_group],"__",0)</f>
        <v/>
      </c>
      <c r="D87">
        <f>_xlfn.XLOOKUP(PassiveProperty[[#This Row],[id]],Passive[id],Passive['#effect_memo],"__",0)</f>
        <v/>
      </c>
      <c r="E87" t="n">
        <v>0</v>
      </c>
      <c r="F87" t="n">
        <v>0</v>
      </c>
      <c r="I87" s="26">
        <f>PassiveProperty[[#This Row],[id]]*10+PassiveProperty[[#This Row],[property_id]]</f>
        <v/>
      </c>
      <c r="K87" s="51" t="n"/>
      <c r="L87" s="41" t="inlineStr">
        <is>
          <t>Always</t>
        </is>
      </c>
      <c r="M87" t="n">
        <v>-1</v>
      </c>
      <c r="N87" t="n">
        <v>-1</v>
      </c>
      <c r="O87" t="inlineStr">
        <is>
          <t>None</t>
        </is>
      </c>
      <c r="P87" t="n">
        <v>-1</v>
      </c>
      <c r="Q87" t="n">
        <v>-1</v>
      </c>
    </row>
    <row r="88">
      <c r="A88" t="n">
        <v>5300105</v>
      </c>
      <c r="B88" t="n">
        <v>2</v>
      </c>
      <c r="C88" s="24">
        <f>_xlfn.XLOOKUP(PassiveProperty[[#This Row],[id]],Passive[passive_property_id],Passive['#effect_group],"__",0)</f>
        <v/>
      </c>
      <c r="D88">
        <f>_xlfn.XLOOKUP(PassiveProperty[[#This Row],[id]],Passive[id],Passive['#effect_memo],"__",0)</f>
        <v/>
      </c>
      <c r="E88" t="n">
        <v>0</v>
      </c>
      <c r="F88" t="n">
        <v>0</v>
      </c>
      <c r="I88" s="26">
        <f>PassiveProperty[[#This Row],[id]]*10+PassiveProperty[[#This Row],[property_id]]</f>
        <v/>
      </c>
      <c r="K88" s="51" t="n"/>
      <c r="L88" s="41" t="inlineStr">
        <is>
          <t>Always</t>
        </is>
      </c>
      <c r="M88" t="n">
        <v>-1</v>
      </c>
      <c r="N88" t="n">
        <v>-1</v>
      </c>
      <c r="O88" t="inlineStr">
        <is>
          <t>None</t>
        </is>
      </c>
      <c r="P88" t="n">
        <v>-1</v>
      </c>
      <c r="Q88" t="n">
        <v>-1</v>
      </c>
    </row>
    <row r="89">
      <c r="A89" t="n">
        <v>5300106</v>
      </c>
      <c r="B89" t="n">
        <v>1</v>
      </c>
      <c r="C89" s="24">
        <f>_xlfn.XLOOKUP(PassiveProperty[[#This Row],[id]],Passive[passive_property_id],Passive['#effect_group],"__",0)</f>
        <v/>
      </c>
      <c r="D89">
        <f>_xlfn.XLOOKUP(PassiveProperty[[#This Row],[id]],Passive[id],Passive['#effect_memo],"__",0)</f>
        <v/>
      </c>
      <c r="E89" t="n">
        <v>0</v>
      </c>
      <c r="F89" t="n">
        <v>0</v>
      </c>
      <c r="I89" s="26">
        <f>PassiveProperty[[#This Row],[id]]*10+PassiveProperty[[#This Row],[property_id]]</f>
        <v/>
      </c>
      <c r="K89" s="51" t="n"/>
      <c r="L89" s="41" t="inlineStr">
        <is>
          <t>Always</t>
        </is>
      </c>
      <c r="M89" t="n">
        <v>-1</v>
      </c>
      <c r="N89" t="n">
        <v>-1</v>
      </c>
      <c r="O89" t="inlineStr">
        <is>
          <t>None</t>
        </is>
      </c>
      <c r="P89" t="n">
        <v>-1</v>
      </c>
      <c r="Q89" t="n">
        <v>-1</v>
      </c>
    </row>
    <row r="90">
      <c r="A90" t="n">
        <v>5400101</v>
      </c>
      <c r="B90" t="n">
        <v>1</v>
      </c>
      <c r="C90" s="24">
        <f>_xlfn.XLOOKUP(PassiveProperty[[#This Row],[id]],Passive[passive_property_id],Passive['#effect_group],"__",0)</f>
        <v/>
      </c>
      <c r="D90">
        <f>_xlfn.XLOOKUP(PassiveProperty[[#This Row],[id]],Passive[id],Passive['#effect_memo],"__",0)</f>
        <v/>
      </c>
      <c r="E90" t="n">
        <v>0</v>
      </c>
      <c r="F90" t="n">
        <v>0</v>
      </c>
      <c r="I90" s="26">
        <f>PassiveProperty[[#This Row],[id]]*10+PassiveProperty[[#This Row],[property_id]]</f>
        <v/>
      </c>
      <c r="K90" s="51" t="n"/>
      <c r="L90" s="41" t="inlineStr">
        <is>
          <t>Always</t>
        </is>
      </c>
      <c r="M90" t="n">
        <v>-1</v>
      </c>
      <c r="N90" t="n">
        <v>-1</v>
      </c>
      <c r="O90" t="inlineStr">
        <is>
          <t>None</t>
        </is>
      </c>
      <c r="P90" t="n">
        <v>-1</v>
      </c>
      <c r="Q90" t="n">
        <v>-1</v>
      </c>
    </row>
    <row r="91">
      <c r="A91" t="n">
        <v>5400102</v>
      </c>
      <c r="B91" t="n">
        <v>1</v>
      </c>
      <c r="C91" s="24">
        <f>_xlfn.XLOOKUP(PassiveProperty[[#This Row],[id]],Passive[passive_property_id],Passive['#effect_group],"__",0)</f>
        <v/>
      </c>
      <c r="D91">
        <f>_xlfn.XLOOKUP(PassiveProperty[[#This Row],[id]],Passive[id],Passive['#effect_memo],"__",0)</f>
        <v/>
      </c>
      <c r="E91" t="n">
        <v>0</v>
      </c>
      <c r="F91" t="n">
        <v>0</v>
      </c>
      <c r="I91" s="26">
        <f>PassiveProperty[[#This Row],[id]]*10+PassiveProperty[[#This Row],[property_id]]</f>
        <v/>
      </c>
      <c r="K91" s="51" t="n"/>
      <c r="L91" s="41" t="inlineStr">
        <is>
          <t>Always</t>
        </is>
      </c>
      <c r="M91" t="n">
        <v>-1</v>
      </c>
      <c r="N91" t="n">
        <v>-1</v>
      </c>
      <c r="O91" t="inlineStr">
        <is>
          <t>None</t>
        </is>
      </c>
      <c r="P91" t="n">
        <v>-1</v>
      </c>
      <c r="Q91" t="n">
        <v>-1</v>
      </c>
    </row>
    <row r="92">
      <c r="A92" t="n">
        <v>5400103</v>
      </c>
      <c r="B92" t="n">
        <v>1</v>
      </c>
      <c r="C92" s="24">
        <f>_xlfn.XLOOKUP(PassiveProperty[[#This Row],[id]],Passive[passive_property_id],Passive['#effect_group],"__",0)</f>
        <v/>
      </c>
      <c r="D92">
        <f>_xlfn.XLOOKUP(PassiveProperty[[#This Row],[id]],Passive[id],Passive['#effect_memo],"__",0)</f>
        <v/>
      </c>
      <c r="E92" t="n">
        <v>0</v>
      </c>
      <c r="F92" t="n">
        <v>0</v>
      </c>
      <c r="I92" s="26">
        <f>PassiveProperty[[#This Row],[id]]*10+PassiveProperty[[#This Row],[property_id]]</f>
        <v/>
      </c>
      <c r="K92" s="51" t="n"/>
      <c r="L92" s="41" t="inlineStr">
        <is>
          <t>Always</t>
        </is>
      </c>
      <c r="M92" t="n">
        <v>-1</v>
      </c>
      <c r="N92" t="n">
        <v>-1</v>
      </c>
      <c r="O92" t="inlineStr">
        <is>
          <t>None</t>
        </is>
      </c>
      <c r="P92" t="n">
        <v>-1</v>
      </c>
      <c r="Q92" t="n">
        <v>-1</v>
      </c>
    </row>
    <row r="93">
      <c r="A93" t="n">
        <v>5400104</v>
      </c>
      <c r="B93" t="n">
        <v>1</v>
      </c>
      <c r="C93" s="24">
        <f>_xlfn.XLOOKUP(PassiveProperty[[#This Row],[id]],Passive[passive_property_id],Passive['#effect_group],"__",0)</f>
        <v/>
      </c>
      <c r="D93">
        <f>_xlfn.XLOOKUP(PassiveProperty[[#This Row],[id]],Passive[id],Passive['#effect_memo],"__",0)</f>
        <v/>
      </c>
      <c r="E93" t="n">
        <v>0</v>
      </c>
      <c r="F93" t="n">
        <v>0</v>
      </c>
      <c r="I93" s="26">
        <f>PassiveProperty[[#This Row],[id]]*10+PassiveProperty[[#This Row],[property_id]]</f>
        <v/>
      </c>
      <c r="K93" s="51" t="n"/>
      <c r="L93" s="41" t="inlineStr">
        <is>
          <t>Always</t>
        </is>
      </c>
      <c r="M93" t="n">
        <v>-1</v>
      </c>
      <c r="N93" t="n">
        <v>-1</v>
      </c>
      <c r="O93" t="inlineStr">
        <is>
          <t>None</t>
        </is>
      </c>
      <c r="P93" t="n">
        <v>-1</v>
      </c>
      <c r="Q93" t="n">
        <v>-1</v>
      </c>
    </row>
    <row r="94">
      <c r="A94" t="n">
        <v>5400105</v>
      </c>
      <c r="B94" t="n">
        <v>1</v>
      </c>
      <c r="C94" s="24">
        <f>_xlfn.XLOOKUP(PassiveProperty[[#This Row],[id]],Passive[passive_property_id],Passive['#effect_group],"__",0)</f>
        <v/>
      </c>
      <c r="D94">
        <f>_xlfn.XLOOKUP(PassiveProperty[[#This Row],[id]],Passive[id],Passive['#effect_memo],"__",0)</f>
        <v/>
      </c>
      <c r="E94" t="n">
        <v>0</v>
      </c>
      <c r="F94" t="n">
        <v>0</v>
      </c>
      <c r="I94" s="26">
        <f>PassiveProperty[[#This Row],[id]]*10+PassiveProperty[[#This Row],[property_id]]</f>
        <v/>
      </c>
      <c r="K94" s="51" t="n"/>
      <c r="L94" s="41" t="inlineStr">
        <is>
          <t>Always</t>
        </is>
      </c>
      <c r="M94" t="n">
        <v>-1</v>
      </c>
      <c r="N94" t="n">
        <v>-1</v>
      </c>
      <c r="O94" t="inlineStr">
        <is>
          <t>None</t>
        </is>
      </c>
      <c r="P94" t="n">
        <v>-1</v>
      </c>
      <c r="Q94" t="n">
        <v>-1</v>
      </c>
    </row>
    <row r="95">
      <c r="A95" t="n">
        <v>5400105</v>
      </c>
      <c r="B95" t="n">
        <v>2</v>
      </c>
      <c r="C95" s="24">
        <f>_xlfn.XLOOKUP(PassiveProperty[[#This Row],[id]],Passive[passive_property_id],Passive['#effect_group],"__",0)</f>
        <v/>
      </c>
      <c r="D95">
        <f>_xlfn.XLOOKUP(PassiveProperty[[#This Row],[id]],Passive[id],Passive['#effect_memo],"__",0)</f>
        <v/>
      </c>
      <c r="E95" t="n">
        <v>0</v>
      </c>
      <c r="F95" t="n">
        <v>0</v>
      </c>
      <c r="I95" s="26">
        <f>PassiveProperty[[#This Row],[id]]*10+PassiveProperty[[#This Row],[property_id]]</f>
        <v/>
      </c>
      <c r="K95" s="51" t="n"/>
      <c r="L95" s="41" t="inlineStr">
        <is>
          <t>Always</t>
        </is>
      </c>
      <c r="M95" t="n">
        <v>-1</v>
      </c>
      <c r="N95" t="n">
        <v>-1</v>
      </c>
      <c r="O95" t="inlineStr">
        <is>
          <t>None</t>
        </is>
      </c>
      <c r="P95" t="n">
        <v>-1</v>
      </c>
      <c r="Q95" t="n">
        <v>-1</v>
      </c>
    </row>
    <row r="96">
      <c r="A96" t="n">
        <v>5400106</v>
      </c>
      <c r="B96" t="n">
        <v>1</v>
      </c>
      <c r="C96" s="24">
        <f>_xlfn.XLOOKUP(PassiveProperty[[#This Row],[id]],Passive[passive_property_id],Passive['#effect_group],"__",0)</f>
        <v/>
      </c>
      <c r="D96">
        <f>_xlfn.XLOOKUP(PassiveProperty[[#This Row],[id]],Passive[id],Passive['#effect_memo],"__",0)</f>
        <v/>
      </c>
      <c r="E96" t="n">
        <v>0</v>
      </c>
      <c r="F96" t="n">
        <v>0</v>
      </c>
      <c r="I96" s="26">
        <f>PassiveProperty[[#This Row],[id]]*10+PassiveProperty[[#This Row],[property_id]]</f>
        <v/>
      </c>
      <c r="K96" s="51" t="n"/>
      <c r="L96" s="41" t="inlineStr">
        <is>
          <t>Always</t>
        </is>
      </c>
      <c r="M96" t="n">
        <v>-1</v>
      </c>
      <c r="N96" t="n">
        <v>-1</v>
      </c>
      <c r="O96" t="inlineStr">
        <is>
          <t>None</t>
        </is>
      </c>
      <c r="P96" t="n">
        <v>-1</v>
      </c>
      <c r="Q96" t="n">
        <v>-1</v>
      </c>
    </row>
    <row r="97">
      <c r="A97" t="n">
        <v>5400106</v>
      </c>
      <c r="B97" t="n">
        <v>2</v>
      </c>
      <c r="C97" s="24">
        <f>_xlfn.XLOOKUP(PassiveProperty[[#This Row],[id]],Passive[passive_property_id],Passive['#effect_group],"__",0)</f>
        <v/>
      </c>
      <c r="D97">
        <f>_xlfn.XLOOKUP(PassiveProperty[[#This Row],[id]],Passive[id],Passive['#effect_memo],"__",0)</f>
        <v/>
      </c>
      <c r="E97" t="n">
        <v>0</v>
      </c>
      <c r="F97" t="n">
        <v>0</v>
      </c>
      <c r="I97" s="26">
        <f>PassiveProperty[[#This Row],[id]]*10+PassiveProperty[[#This Row],[property_id]]</f>
        <v/>
      </c>
      <c r="K97" s="51" t="n"/>
      <c r="L97" s="41" t="inlineStr">
        <is>
          <t>Always</t>
        </is>
      </c>
      <c r="M97" t="n">
        <v>-1</v>
      </c>
      <c r="N97" t="n">
        <v>-1</v>
      </c>
      <c r="O97" t="inlineStr">
        <is>
          <t>None</t>
        </is>
      </c>
      <c r="P97" t="n">
        <v>-1</v>
      </c>
      <c r="Q97" t="n">
        <v>-1</v>
      </c>
    </row>
    <row r="98">
      <c r="A98" t="n">
        <v>6010101</v>
      </c>
      <c r="B98" t="n">
        <v>1</v>
      </c>
      <c r="C98" s="24">
        <f>_xlfn.XLOOKUP(PassiveProperty[[#This Row],[id]],Passive[passive_property_id],Passive['#effect_group],"__",0)</f>
        <v/>
      </c>
      <c r="D98">
        <f>_xlfn.XLOOKUP(PassiveProperty[[#This Row],[id]],Passive[id],Passive['#effect_memo],"__",0)</f>
        <v/>
      </c>
      <c r="E98" t="n">
        <v>0</v>
      </c>
      <c r="F98" t="n">
        <v>0</v>
      </c>
      <c r="I98" s="26">
        <f>PassiveProperty[[#This Row],[id]]*10+PassiveProperty[[#This Row],[property_id]]</f>
        <v/>
      </c>
      <c r="K98" s="51" t="n"/>
      <c r="L98" s="41" t="inlineStr">
        <is>
          <t>Always</t>
        </is>
      </c>
      <c r="M98" t="n">
        <v>-1</v>
      </c>
      <c r="N98" t="n">
        <v>-1</v>
      </c>
      <c r="O98" t="inlineStr">
        <is>
          <t>None</t>
        </is>
      </c>
      <c r="P98" t="n">
        <v>-1</v>
      </c>
      <c r="Q98" t="n">
        <v>-1</v>
      </c>
    </row>
    <row r="99">
      <c r="A99" t="n">
        <v>6010102</v>
      </c>
      <c r="B99" t="n">
        <v>1</v>
      </c>
      <c r="C99" s="24">
        <f>_xlfn.XLOOKUP(PassiveProperty[[#This Row],[id]],Passive[passive_property_id],Passive['#effect_group],"__",0)</f>
        <v/>
      </c>
      <c r="D99" t="inlineStr">
        <is>
          <t>즉시 궁극기 충전</t>
        </is>
      </c>
      <c r="E99" t="n">
        <v>0</v>
      </c>
      <c r="F99" t="n">
        <v>0</v>
      </c>
      <c r="I99" s="26">
        <f>PassiveProperty[[#This Row],[id]]*10+PassiveProperty[[#This Row],[property_id]]</f>
        <v/>
      </c>
      <c r="K99" s="51" t="n"/>
      <c r="L99" s="41" t="inlineStr">
        <is>
          <t>Always</t>
        </is>
      </c>
      <c r="M99" t="n">
        <v>-1</v>
      </c>
      <c r="N99" t="n">
        <v>-1</v>
      </c>
      <c r="O99" t="inlineStr">
        <is>
          <t>None</t>
        </is>
      </c>
      <c r="P99" t="n">
        <v>-1</v>
      </c>
      <c r="Q99" t="n">
        <v>-1</v>
      </c>
    </row>
    <row r="100">
      <c r="A100" t="n">
        <v>6010102</v>
      </c>
      <c r="B100" t="n">
        <v>2</v>
      </c>
      <c r="C100" s="24">
        <f>_xlfn.XLOOKUP(PassiveProperty[[#This Row],[id]],Passive[passive_property_id],Passive['#effect_group],"__",0)</f>
        <v/>
      </c>
      <c r="D100" t="inlineStr">
        <is>
          <t>지속시간 동안 궁극기 게이지 지속 충전</t>
        </is>
      </c>
      <c r="E100" t="n">
        <v>0</v>
      </c>
      <c r="F100" t="n">
        <v>0</v>
      </c>
      <c r="I100" s="26">
        <f>PassiveProperty[[#This Row],[id]]*10+PassiveProperty[[#This Row],[property_id]]</f>
        <v/>
      </c>
      <c r="K100" s="51" t="n"/>
      <c r="L100" s="41" t="inlineStr">
        <is>
          <t>Always</t>
        </is>
      </c>
      <c r="M100" t="n">
        <v>-1</v>
      </c>
      <c r="N100" t="n">
        <v>-1</v>
      </c>
      <c r="O100" t="inlineStr">
        <is>
          <t>None</t>
        </is>
      </c>
      <c r="P100" t="n">
        <v>-1</v>
      </c>
      <c r="Q100" t="n">
        <v>-1</v>
      </c>
    </row>
    <row r="101">
      <c r="A101" t="n">
        <v>6010103</v>
      </c>
      <c r="B101" t="n">
        <v>1</v>
      </c>
      <c r="C101" s="24">
        <f>_xlfn.XLOOKUP(PassiveProperty[[#This Row],[id]],Passive[passive_property_id],Passive['#effect_group],"__",0)</f>
        <v/>
      </c>
      <c r="D101" t="inlineStr">
        <is>
          <t>스킬 쿨타임 -30%</t>
        </is>
      </c>
      <c r="E101" t="n">
        <v>0</v>
      </c>
      <c r="F101" t="n">
        <v>0</v>
      </c>
      <c r="I101" s="26">
        <f>PassiveProperty[[#This Row],[id]]*10+PassiveProperty[[#This Row],[property_id]]</f>
        <v/>
      </c>
      <c r="K101" s="51" t="n"/>
      <c r="L101" s="41" t="inlineStr">
        <is>
          <t>Always</t>
        </is>
      </c>
      <c r="M101" t="n">
        <v>-1</v>
      </c>
      <c r="N101" t="n">
        <v>-1</v>
      </c>
      <c r="O101" t="inlineStr">
        <is>
          <t>None</t>
        </is>
      </c>
      <c r="P101" t="n">
        <v>-1</v>
      </c>
      <c r="Q101" t="n">
        <v>-1</v>
      </c>
    </row>
    <row r="102">
      <c r="A102" t="n">
        <v>6010103</v>
      </c>
      <c r="B102" t="n">
        <v>2</v>
      </c>
      <c r="C102" s="24">
        <f>_xlfn.XLOOKUP(PassiveProperty[[#This Row],[id]],Passive[passive_property_id],Passive['#effect_group],"__",0)</f>
        <v/>
      </c>
      <c r="D102" t="inlineStr">
        <is>
          <t>스킬 대미지 +20%</t>
        </is>
      </c>
      <c r="E102" t="n">
        <v>0</v>
      </c>
      <c r="F102" t="n">
        <v>0</v>
      </c>
      <c r="I102" s="26">
        <f>PassiveProperty[[#This Row],[id]]*10+PassiveProperty[[#This Row],[property_id]]</f>
        <v/>
      </c>
      <c r="K102" s="51" t="n"/>
      <c r="L102" s="41" t="inlineStr">
        <is>
          <t>Always</t>
        </is>
      </c>
      <c r="M102" t="n">
        <v>-1</v>
      </c>
      <c r="N102" t="n">
        <v>-1</v>
      </c>
      <c r="O102" t="inlineStr">
        <is>
          <t>None</t>
        </is>
      </c>
      <c r="P102" t="n">
        <v>-1</v>
      </c>
      <c r="Q102" t="n">
        <v>-1</v>
      </c>
    </row>
    <row r="103">
      <c r="A103" t="n">
        <v>6010104</v>
      </c>
      <c r="B103" t="n">
        <v>1</v>
      </c>
      <c r="C103" s="24">
        <f>_xlfn.XLOOKUP(PassiveProperty[[#This Row],[id]],Passive[passive_property_id],Passive['#effect_group],"__",0)</f>
        <v/>
      </c>
      <c r="D103" t="inlineStr">
        <is>
          <t>거점 위에 있을 때 받는 대미지 -50%</t>
        </is>
      </c>
      <c r="E103" t="n">
        <v>0</v>
      </c>
      <c r="F103" t="n">
        <v>0</v>
      </c>
      <c r="I103" s="26">
        <f>PassiveProperty[[#This Row],[id]]*10+PassiveProperty[[#This Row],[property_id]]</f>
        <v/>
      </c>
      <c r="K103" s="51" t="n"/>
      <c r="L103" s="41" t="inlineStr">
        <is>
          <t>IsOnPoint</t>
        </is>
      </c>
      <c r="M103" t="n">
        <v>1</v>
      </c>
      <c r="N103" t="n">
        <v>-1</v>
      </c>
      <c r="O103" t="inlineStr">
        <is>
          <t>IsOnPoint</t>
        </is>
      </c>
      <c r="P103" t="n">
        <v>0</v>
      </c>
      <c r="Q103" t="n">
        <v>-1</v>
      </c>
    </row>
    <row r="104">
      <c r="A104" t="n">
        <v>6010104</v>
      </c>
      <c r="B104" t="n">
        <v>2</v>
      </c>
      <c r="C104" s="24">
        <f>_xlfn.XLOOKUP(PassiveProperty[[#This Row],[id]],Passive[passive_property_id],Passive['#effect_group],"__",0)</f>
        <v/>
      </c>
      <c r="D104" t="inlineStr">
        <is>
          <t>거점 위에 있을 때 보호막 재생 +100%</t>
        </is>
      </c>
      <c r="E104" t="n">
        <v>0</v>
      </c>
      <c r="F104" t="n">
        <v>0</v>
      </c>
      <c r="I104" s="26">
        <f>PassiveProperty[[#This Row],[id]]*10+PassiveProperty[[#This Row],[property_id]]</f>
        <v/>
      </c>
      <c r="K104" s="51" t="n"/>
      <c r="L104" s="41" t="inlineStr">
        <is>
          <t>IsOnPoint</t>
        </is>
      </c>
      <c r="M104" t="n">
        <v>1</v>
      </c>
      <c r="N104" t="n">
        <v>-1</v>
      </c>
      <c r="O104" t="inlineStr">
        <is>
          <t>IsOnPoint</t>
        </is>
      </c>
      <c r="P104" t="n">
        <v>0</v>
      </c>
      <c r="Q104" t="n">
        <v>-1</v>
      </c>
    </row>
    <row r="105">
      <c r="A105" t="n">
        <v>6010104</v>
      </c>
      <c r="B105" t="n">
        <v>3</v>
      </c>
      <c r="C105" s="24">
        <f>_xlfn.XLOOKUP(PassiveProperty[[#This Row],[id]],Passive[passive_property_id],Passive['#effect_group],"__",0)</f>
        <v/>
      </c>
      <c r="D105" t="inlineStr">
        <is>
          <t>최대 생명력 +250</t>
        </is>
      </c>
      <c r="E105" t="n">
        <v>0</v>
      </c>
      <c r="F105" t="n">
        <v>0</v>
      </c>
      <c r="I105" s="26">
        <f>PassiveProperty[[#This Row],[id]]*10+PassiveProperty[[#This Row],[property_id]]</f>
        <v/>
      </c>
      <c r="K105" s="51" t="n"/>
      <c r="L105" s="41" t="inlineStr">
        <is>
          <t>Always</t>
        </is>
      </c>
      <c r="M105" t="n">
        <v>-1</v>
      </c>
      <c r="N105" t="n">
        <v>-1</v>
      </c>
      <c r="O105" t="inlineStr">
        <is>
          <t>None</t>
        </is>
      </c>
      <c r="P105" t="n">
        <v>-1</v>
      </c>
      <c r="Q105" t="n">
        <v>-1</v>
      </c>
    </row>
    <row r="106">
      <c r="A106" t="n">
        <v>6010105</v>
      </c>
      <c r="B106" t="n">
        <v>1</v>
      </c>
      <c r="C106" s="24">
        <f>_xlfn.XLOOKUP(PassiveProperty[[#This Row],[id]],Passive[passive_property_id],Passive['#effect_group],"__",0)</f>
        <v/>
      </c>
      <c r="D106" t="inlineStr">
        <is>
          <t>보호막 피해 배율 +85%</t>
        </is>
      </c>
      <c r="E106" t="n">
        <v>0</v>
      </c>
      <c r="F106" t="n">
        <v>0</v>
      </c>
      <c r="I106" s="26">
        <f>PassiveProperty[[#This Row],[id]]*10+PassiveProperty[[#This Row],[property_id]]</f>
        <v/>
      </c>
      <c r="K106" s="51" t="n"/>
      <c r="L106" s="41" t="inlineStr">
        <is>
          <t>Always</t>
        </is>
      </c>
      <c r="M106" t="n">
        <v>-1</v>
      </c>
      <c r="N106" t="n">
        <v>-1</v>
      </c>
      <c r="O106" t="inlineStr">
        <is>
          <t>None</t>
        </is>
      </c>
      <c r="P106" t="n">
        <v>-1</v>
      </c>
      <c r="Q106" t="n">
        <v>-1</v>
      </c>
    </row>
    <row r="107">
      <c r="A107" t="n">
        <v>6010105</v>
      </c>
      <c r="B107" t="n">
        <v>2</v>
      </c>
      <c r="C107" s="24">
        <f>_xlfn.XLOOKUP(PassiveProperty[[#This Row],[id]],Passive[passive_property_id],Passive['#effect_group],"__",0)</f>
        <v/>
      </c>
      <c r="D107" t="inlineStr">
        <is>
          <t>MOA -85%</t>
        </is>
      </c>
      <c r="E107" t="n">
        <v>0</v>
      </c>
      <c r="F107" t="n">
        <v>0</v>
      </c>
      <c r="I107" s="26">
        <f>PassiveProperty[[#This Row],[id]]*10+PassiveProperty[[#This Row],[property_id]]</f>
        <v/>
      </c>
      <c r="K107" s="51" t="n"/>
      <c r="L107" s="41" t="inlineStr">
        <is>
          <t>Always</t>
        </is>
      </c>
      <c r="M107" t="n">
        <v>-1</v>
      </c>
      <c r="N107" t="n">
        <v>-1</v>
      </c>
      <c r="O107" t="inlineStr">
        <is>
          <t>None</t>
        </is>
      </c>
      <c r="P107" t="n">
        <v>-1</v>
      </c>
      <c r="Q107" t="n">
        <v>-1</v>
      </c>
    </row>
    <row r="108">
      <c r="A108" t="n">
        <v>6010105</v>
      </c>
      <c r="B108" t="n">
        <v>3</v>
      </c>
      <c r="C108" s="24">
        <f>_xlfn.XLOOKUP(PassiveProperty[[#This Row],[id]],Passive[passive_property_id],Passive['#effect_group],"__",0)</f>
        <v/>
      </c>
      <c r="D108" t="inlineStr">
        <is>
          <t>사격 사거리 패널티 제거</t>
        </is>
      </c>
      <c r="E108" t="n">
        <v>0</v>
      </c>
      <c r="F108" t="n">
        <v>0</v>
      </c>
      <c r="I108" s="26">
        <f>PassiveProperty[[#This Row],[id]]*10+PassiveProperty[[#This Row],[property_id]]</f>
        <v/>
      </c>
      <c r="K108" s="51" t="n"/>
      <c r="L108" s="41" t="inlineStr">
        <is>
          <t>Always</t>
        </is>
      </c>
      <c r="M108" t="n">
        <v>-1</v>
      </c>
      <c r="N108" t="n">
        <v>-1</v>
      </c>
      <c r="O108" t="inlineStr">
        <is>
          <t>None</t>
        </is>
      </c>
      <c r="P108" t="n">
        <v>-1</v>
      </c>
      <c r="Q108" t="n">
        <v>-1</v>
      </c>
    </row>
    <row r="109">
      <c r="A109" t="n">
        <v>6010106</v>
      </c>
      <c r="B109" t="n">
        <v>1</v>
      </c>
      <c r="C109" s="24">
        <f>_xlfn.XLOOKUP(PassiveProperty[[#This Row],[id]],Passive[passive_property_id],Passive['#effect_group],"__",0)</f>
        <v/>
      </c>
      <c r="D109">
        <f>_xlfn.XLOOKUP(PassiveProperty[[#This Row],[id]],Passive[id],Passive['#effect_memo],"__",0)</f>
        <v/>
      </c>
      <c r="E109" t="n">
        <v>0</v>
      </c>
      <c r="F109" t="n">
        <v>6000</v>
      </c>
      <c r="I109" s="26">
        <f>PassiveProperty[[#This Row],[id]]*10+PassiveProperty[[#This Row],[property_id]]</f>
        <v/>
      </c>
      <c r="K109" s="51" t="n"/>
      <c r="L109" s="41" t="inlineStr">
        <is>
          <t>Always</t>
        </is>
      </c>
      <c r="M109" t="n">
        <v>-1</v>
      </c>
      <c r="N109" t="n">
        <v>-1</v>
      </c>
      <c r="O109" t="inlineStr">
        <is>
          <t>None</t>
        </is>
      </c>
      <c r="P109" t="n">
        <v>-1</v>
      </c>
      <c r="Q109" t="n">
        <v>-1</v>
      </c>
    </row>
    <row r="110">
      <c r="A110" t="n">
        <v>6010107</v>
      </c>
      <c r="B110" t="n">
        <v>1</v>
      </c>
      <c r="C110" s="24">
        <f>_xlfn.XLOOKUP(PassiveProperty[[#This Row],[id]],Passive[passive_property_id],Passive['#effect_group],"__",0)</f>
        <v/>
      </c>
      <c r="D110" t="inlineStr">
        <is>
          <t>이동속도 증가.</t>
        </is>
      </c>
      <c r="E110" t="n">
        <v>0</v>
      </c>
      <c r="F110" t="n">
        <v>0</v>
      </c>
      <c r="I110" s="26">
        <f>PassiveProperty[[#This Row],[id]]*10+PassiveProperty[[#This Row],[property_id]]</f>
        <v/>
      </c>
      <c r="K110" s="51" t="n"/>
      <c r="L110" s="41" t="inlineStr">
        <is>
          <t>Always</t>
        </is>
      </c>
      <c r="M110" t="n">
        <v>-1</v>
      </c>
      <c r="N110" t="n">
        <v>-1</v>
      </c>
      <c r="O110" t="inlineStr">
        <is>
          <t>None</t>
        </is>
      </c>
      <c r="P110" t="n">
        <v>-1</v>
      </c>
      <c r="Q110" t="n">
        <v>-1</v>
      </c>
    </row>
    <row r="111">
      <c r="A111" t="n">
        <v>6010107</v>
      </c>
      <c r="B111" t="n">
        <v>2</v>
      </c>
      <c r="C111" s="24">
        <f>_xlfn.XLOOKUP(PassiveProperty[[#This Row],[id]],Passive[passive_property_id],Passive['#effect_group],"__",0)</f>
        <v/>
      </c>
      <c r="D111" t="inlineStr">
        <is>
          <t>점프 시 보다 먼 거리 도약</t>
        </is>
      </c>
      <c r="E111" t="n">
        <v>0</v>
      </c>
      <c r="F111" t="n">
        <v>0</v>
      </c>
      <c r="I111" s="26">
        <f>PassiveProperty[[#This Row],[id]]*10+PassiveProperty[[#This Row],[property_id]]</f>
        <v/>
      </c>
      <c r="K111" s="51" t="n"/>
      <c r="L111" s="41" t="inlineStr">
        <is>
          <t>Always</t>
        </is>
      </c>
      <c r="M111" t="n">
        <v>-1</v>
      </c>
      <c r="N111" t="n">
        <v>-1</v>
      </c>
      <c r="O111" t="inlineStr">
        <is>
          <t>None</t>
        </is>
      </c>
      <c r="P111" t="n">
        <v>-1</v>
      </c>
      <c r="Q111" t="n">
        <v>-1</v>
      </c>
    </row>
    <row r="112">
      <c r="I112" s="26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zoomScale="75" zoomScaleNormal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41" sqref="E41"/>
    </sheetView>
  </sheetViews>
  <sheetFormatPr baseColWidth="8" defaultRowHeight="16.5"/>
  <cols>
    <col width="11" bestFit="1" customWidth="1" min="1" max="1"/>
    <col width="32" bestFit="1" customWidth="1" style="24" min="2" max="2"/>
    <col width="81.125" customWidth="1" min="3" max="3"/>
    <col width="31.25" bestFit="1" customWidth="1" min="4" max="4"/>
    <col width="17.875" bestFit="1" customWidth="1" min="5" max="5"/>
    <col width="15.75" bestFit="1" customWidth="1" min="6" max="9"/>
  </cols>
  <sheetData>
    <row r="1">
      <c r="A1" t="inlineStr">
        <is>
          <t>DataGroup</t>
        </is>
      </c>
      <c r="B1" s="24" t="inlineStr">
        <is>
          <t>PassiveEffect</t>
        </is>
      </c>
    </row>
    <row r="2">
      <c r="A2" t="inlineStr">
        <is>
          <t>id</t>
        </is>
      </c>
      <c r="B2" s="25" t="inlineStr">
        <is>
          <t>#effect_group</t>
        </is>
      </c>
      <c r="C2" s="1" t="inlineStr">
        <is>
          <t>#effect_memo</t>
        </is>
      </c>
      <c r="D2" t="inlineStr">
        <is>
          <t>passive_effect_type</t>
        </is>
      </c>
      <c r="E2" t="inlineStr">
        <is>
          <t>effect_target_id</t>
        </is>
      </c>
      <c r="F2" t="inlineStr">
        <is>
          <t>effect_value1</t>
        </is>
      </c>
      <c r="G2" t="inlineStr">
        <is>
          <t>effect_value2</t>
        </is>
      </c>
      <c r="H2" t="inlineStr">
        <is>
          <t>effect_value3</t>
        </is>
      </c>
      <c r="I2" t="inlineStr">
        <is>
          <t>effect_value4</t>
        </is>
      </c>
    </row>
    <row r="3">
      <c r="A3" t="n">
        <v>1011</v>
      </c>
      <c r="B3" s="24">
        <f>_xlfn.XLOOKUP(PassiveEffect[[#This Row],[id]],PassiveProperty[passive_effect_id],PassiveProperty['#effect_group],"__",0)</f>
        <v/>
      </c>
      <c r="C3">
        <f>_xlfn.XLOOKUP(PassiveEffect[[#This Row],[id]],PassiveProperty[passive_effect_id],PassiveProperty['#effect_memo],"__",0)</f>
        <v/>
      </c>
      <c r="D3" t="inlineStr">
        <is>
          <t>ModRateAttack</t>
        </is>
      </c>
      <c r="E3" t="n">
        <v>-1</v>
      </c>
      <c r="F3" t="n">
        <v>2000</v>
      </c>
      <c r="G3" t="n">
        <v>-1</v>
      </c>
      <c r="H3" t="n">
        <v>-1</v>
      </c>
      <c r="I3" t="n">
        <v>-1</v>
      </c>
    </row>
    <row r="4">
      <c r="A4" t="n">
        <v>1021</v>
      </c>
      <c r="B4" s="24">
        <f>_xlfn.XLOOKUP(PassiveEffect[[#This Row],[id]],PassiveProperty[passive_effect_id],PassiveProperty['#effect_group],"__",0)</f>
        <v/>
      </c>
      <c r="C4">
        <f>_xlfn.XLOOKUP(PassiveEffect[[#This Row],[id]],PassiveProperty[passive_effect_id],PassiveProperty['#effect_memo],"__",0)</f>
        <v/>
      </c>
      <c r="D4" t="inlineStr">
        <is>
          <t>ModRateFireRate</t>
        </is>
      </c>
      <c r="E4" t="n">
        <v>-1</v>
      </c>
      <c r="F4" t="n">
        <v>1500</v>
      </c>
      <c r="G4" t="n">
        <v>-1</v>
      </c>
      <c r="H4" t="n">
        <v>-1</v>
      </c>
      <c r="I4" t="n">
        <v>-1</v>
      </c>
    </row>
    <row r="5">
      <c r="A5" t="n">
        <v>1031</v>
      </c>
      <c r="B5" s="24">
        <f>_xlfn.XLOOKUP(PassiveEffect[[#This Row],[id]],PassiveProperty[passive_effect_id],PassiveProperty['#effect_group],"__",0)</f>
        <v/>
      </c>
      <c r="C5">
        <f>_xlfn.XLOOKUP(PassiveEffect[[#This Row],[id]],PassiveProperty[passive_effect_id],PassiveProperty['#effect_memo],"__",0)</f>
        <v/>
      </c>
      <c r="D5" t="inlineStr">
        <is>
          <t>ModRateMoveSpeed</t>
        </is>
      </c>
      <c r="E5" t="n">
        <v>-1</v>
      </c>
      <c r="F5" t="n">
        <v>1500</v>
      </c>
      <c r="G5" t="n">
        <v>-1</v>
      </c>
      <c r="H5" t="n">
        <v>-1</v>
      </c>
      <c r="I5" t="n">
        <v>-1</v>
      </c>
    </row>
    <row r="6">
      <c r="A6" t="n">
        <v>1041</v>
      </c>
      <c r="B6" s="24">
        <f>_xlfn.XLOOKUP(PassiveEffect[[#This Row],[id]],PassiveProperty[passive_effect_id],PassiveProperty['#effect_group],"__",0)</f>
        <v/>
      </c>
      <c r="C6">
        <f>_xlfn.XLOOKUP(PassiveEffect[[#This Row],[id]],PassiveProperty[passive_effect_id],PassiveProperty['#effect_memo],"__",0)</f>
        <v/>
      </c>
      <c r="D6" t="inlineStr">
        <is>
          <t>ModRateMoa</t>
        </is>
      </c>
      <c r="E6" t="n">
        <v>-1</v>
      </c>
      <c r="F6" t="n">
        <v>0</v>
      </c>
      <c r="G6" t="n">
        <v>-8000</v>
      </c>
      <c r="H6" t="n">
        <v>-1</v>
      </c>
      <c r="I6" t="n">
        <v>-1</v>
      </c>
    </row>
    <row r="7">
      <c r="A7" t="n">
        <v>1051</v>
      </c>
      <c r="B7" s="24">
        <f>_xlfn.XLOOKUP(PassiveEffect[[#This Row],[id]],PassiveProperty[passive_effect_id],PassiveProperty['#effect_group],"__",0)</f>
        <v/>
      </c>
      <c r="C7">
        <f>_xlfn.XLOOKUP(PassiveEffect[[#This Row],[id]],PassiveProperty[passive_effect_id],PassiveProperty['#effect_memo],"__",0)</f>
        <v/>
      </c>
      <c r="D7" t="inlineStr">
        <is>
          <t>ModRateReloadTime</t>
        </is>
      </c>
      <c r="E7" t="n">
        <v>-1</v>
      </c>
      <c r="F7" t="n">
        <v>8000</v>
      </c>
      <c r="G7" t="n">
        <v>-1</v>
      </c>
      <c r="H7" t="n">
        <v>-1</v>
      </c>
      <c r="I7" t="n">
        <v>-1</v>
      </c>
    </row>
    <row r="8">
      <c r="A8" t="n">
        <v>1061</v>
      </c>
      <c r="B8" s="24">
        <f>_xlfn.XLOOKUP(PassiveEffect[[#This Row],[id]],PassiveProperty[passive_effect_id],PassiveProperty['#effect_group],"__",0)</f>
        <v/>
      </c>
      <c r="C8">
        <f>_xlfn.XLOOKUP(PassiveEffect[[#This Row],[id]],PassiveProperty[passive_effect_id],PassiveProperty['#effect_memo],"__",0)</f>
        <v/>
      </c>
      <c r="D8" t="inlineStr">
        <is>
          <t>ModMaxHealth</t>
        </is>
      </c>
      <c r="E8" t="n">
        <v>-1</v>
      </c>
      <c r="F8" t="n">
        <v>35</v>
      </c>
      <c r="G8" t="n">
        <v>-1</v>
      </c>
      <c r="H8" t="n">
        <v>-1</v>
      </c>
      <c r="I8" t="n">
        <v>-1</v>
      </c>
    </row>
    <row r="9">
      <c r="A9" t="n">
        <v>1071</v>
      </c>
      <c r="B9" s="24">
        <f>_xlfn.XLOOKUP(PassiveEffect[[#This Row],[id]],PassiveProperty[passive_effect_id],PassiveProperty['#effect_group],"__",0)</f>
        <v/>
      </c>
      <c r="C9">
        <f>_xlfn.XLOOKUP(PassiveEffect[[#This Row],[id]],PassiveProperty[passive_effect_id],PassiveProperty['#effect_memo],"__",0)</f>
        <v/>
      </c>
      <c r="D9" t="inlineStr">
        <is>
          <t>GetStatusEffect</t>
        </is>
      </c>
      <c r="E9" t="n">
        <v>107101</v>
      </c>
      <c r="F9" t="n">
        <v>-1</v>
      </c>
      <c r="G9" t="n">
        <v>-1</v>
      </c>
      <c r="H9" t="n">
        <v>-1</v>
      </c>
      <c r="I9" t="n">
        <v>-1</v>
      </c>
    </row>
    <row r="10">
      <c r="A10" t="n">
        <v>1081</v>
      </c>
      <c r="B10" s="24">
        <f>_xlfn.XLOOKUP(PassiveEffect[[#This Row],[id]],PassiveProperty[passive_effect_id],PassiveProperty['#effect_group],"__",0)</f>
        <v/>
      </c>
      <c r="C10">
        <f>_xlfn.XLOOKUP(PassiveEffect[[#This Row],[id]],PassiveProperty[passive_effect_id],PassiveProperty['#effect_memo],"__",0)</f>
        <v/>
      </c>
      <c r="D10" t="inlineStr">
        <is>
          <t>ModSkillCooldownHaste</t>
        </is>
      </c>
      <c r="E10" t="n">
        <v>-1</v>
      </c>
      <c r="F10" t="n">
        <v>800</v>
      </c>
      <c r="G10" t="n">
        <v>-1</v>
      </c>
      <c r="H10" t="n">
        <v>-1</v>
      </c>
      <c r="I10" t="n">
        <v>-1</v>
      </c>
    </row>
    <row r="11">
      <c r="A11" t="n">
        <v>1091</v>
      </c>
      <c r="B11" s="24">
        <f>_xlfn.XLOOKUP(PassiveEffect[[#This Row],[id]],PassiveProperty[passive_effect_id],PassiveProperty['#effect_group],"__",0)</f>
        <v/>
      </c>
      <c r="C11">
        <f>_xlfn.XLOOKUP(PassiveEffect[[#This Row],[id]],PassiveProperty[passive_effect_id],PassiveProperty['#effect_memo],"__",0)</f>
        <v/>
      </c>
      <c r="D11" t="inlineStr">
        <is>
          <t>GetStatusEffect</t>
        </is>
      </c>
      <c r="E11" t="n">
        <v>109101</v>
      </c>
      <c r="F11" t="n">
        <v>-1</v>
      </c>
      <c r="G11" t="n">
        <v>-1</v>
      </c>
      <c r="H11" t="n">
        <v>-1</v>
      </c>
      <c r="I11" t="n">
        <v>-1</v>
      </c>
    </row>
    <row r="12">
      <c r="A12" t="n">
        <v>2011</v>
      </c>
      <c r="B12" s="24">
        <f>_xlfn.XLOOKUP(PassiveEffect[[#This Row],[id]],PassiveProperty[passive_effect_id],PassiveProperty['#effect_group],"__",0)</f>
        <v/>
      </c>
      <c r="C12">
        <f>_xlfn.XLOOKUP(PassiveEffect[[#This Row],[id]],PassiveProperty[passive_effect_id],PassiveProperty['#effect_memo],"__",0)</f>
        <v/>
      </c>
      <c r="D12" t="inlineStr">
        <is>
          <t>ModRateAttack</t>
        </is>
      </c>
      <c r="E12" t="n">
        <v>-1</v>
      </c>
      <c r="F12" t="n">
        <v>2000</v>
      </c>
      <c r="G12" t="n">
        <v>-1</v>
      </c>
      <c r="H12" t="n">
        <v>-1</v>
      </c>
      <c r="I12" t="n">
        <v>-1</v>
      </c>
    </row>
    <row r="13">
      <c r="A13" t="n">
        <v>2021</v>
      </c>
      <c r="B13" s="24">
        <f>_xlfn.XLOOKUP(PassiveEffect[[#This Row],[id]],PassiveProperty[passive_effect_id],PassiveProperty['#effect_group],"__",0)</f>
        <v/>
      </c>
      <c r="C13">
        <f>_xlfn.XLOOKUP(PassiveEffect[[#This Row],[id]],PassiveProperty[passive_effect_id],PassiveProperty['#effect_memo],"__",0)</f>
        <v/>
      </c>
      <c r="D13" t="inlineStr">
        <is>
          <t>ModRateFireRate</t>
        </is>
      </c>
      <c r="E13" t="n">
        <v>-1</v>
      </c>
      <c r="F13" t="n">
        <v>1500</v>
      </c>
      <c r="G13" t="n">
        <v>-1</v>
      </c>
      <c r="H13" t="n">
        <v>-1</v>
      </c>
      <c r="I13" t="n">
        <v>-1</v>
      </c>
    </row>
    <row r="14">
      <c r="A14" t="n">
        <v>2031</v>
      </c>
      <c r="B14" s="24">
        <f>_xlfn.XLOOKUP(PassiveEffect[[#This Row],[id]],PassiveProperty[passive_effect_id],PassiveProperty['#effect_group],"__",0)</f>
        <v/>
      </c>
      <c r="C14">
        <f>_xlfn.XLOOKUP(PassiveEffect[[#This Row],[id]],PassiveProperty[passive_effect_id],PassiveProperty['#effect_memo],"__",0)</f>
        <v/>
      </c>
      <c r="D14" t="inlineStr">
        <is>
          <t>ModRateMoveSpeed</t>
        </is>
      </c>
      <c r="E14" t="n">
        <v>-1</v>
      </c>
      <c r="F14" t="n">
        <v>1500</v>
      </c>
      <c r="G14" t="n">
        <v>-1</v>
      </c>
      <c r="H14" t="n">
        <v>-1</v>
      </c>
      <c r="I14" t="n">
        <v>-1</v>
      </c>
    </row>
    <row r="15">
      <c r="A15" t="n">
        <v>2041</v>
      </c>
      <c r="B15" s="24">
        <f>_xlfn.XLOOKUP(PassiveEffect[[#This Row],[id]],PassiveProperty[passive_effect_id],PassiveProperty['#effect_group],"__",0)</f>
        <v/>
      </c>
      <c r="C15">
        <f>_xlfn.XLOOKUP(PassiveEffect[[#This Row],[id]],PassiveProperty[passive_effect_id],PassiveProperty['#effect_memo],"__",0)</f>
        <v/>
      </c>
      <c r="D15" t="inlineStr">
        <is>
          <t>ModRateMoa</t>
        </is>
      </c>
      <c r="E15" t="n">
        <v>-1</v>
      </c>
      <c r="F15" t="n">
        <v>0</v>
      </c>
      <c r="G15" t="n">
        <v>-8000</v>
      </c>
      <c r="H15" t="n">
        <v>-1</v>
      </c>
      <c r="I15" t="n">
        <v>-1</v>
      </c>
    </row>
    <row r="16">
      <c r="A16" t="n">
        <v>2051</v>
      </c>
      <c r="B16" s="24">
        <f>_xlfn.XLOOKUP(PassiveEffect[[#This Row],[id]],PassiveProperty[passive_effect_id],PassiveProperty['#effect_group],"__",0)</f>
        <v/>
      </c>
      <c r="C16">
        <f>_xlfn.XLOOKUP(PassiveEffect[[#This Row],[id]],PassiveProperty[passive_effect_id],PassiveProperty['#effect_memo],"__",0)</f>
        <v/>
      </c>
      <c r="D16" t="inlineStr">
        <is>
          <t>ModRateReloadTime</t>
        </is>
      </c>
      <c r="E16" t="n">
        <v>-1</v>
      </c>
      <c r="F16" t="n">
        <v>8000</v>
      </c>
      <c r="G16" t="n">
        <v>-1</v>
      </c>
      <c r="H16" t="n">
        <v>-1</v>
      </c>
      <c r="I16" t="n">
        <v>-1</v>
      </c>
    </row>
    <row r="17">
      <c r="A17" t="n">
        <v>2061</v>
      </c>
      <c r="B17" s="24">
        <f>_xlfn.XLOOKUP(PassiveEffect[[#This Row],[id]],PassiveProperty[passive_effect_id],PassiveProperty['#effect_group],"__",0)</f>
        <v/>
      </c>
      <c r="C17">
        <f>_xlfn.XLOOKUP(PassiveEffect[[#This Row],[id]],PassiveProperty[passive_effect_id],PassiveProperty['#effect_memo],"__",0)</f>
        <v/>
      </c>
      <c r="D17" t="inlineStr">
        <is>
          <t>ModMaxHealth</t>
        </is>
      </c>
      <c r="E17" t="n">
        <v>-1</v>
      </c>
      <c r="F17" t="n">
        <v>35</v>
      </c>
      <c r="G17" t="n">
        <v>-1</v>
      </c>
      <c r="H17" t="n">
        <v>-1</v>
      </c>
      <c r="I17" t="n">
        <v>-1</v>
      </c>
    </row>
    <row r="18">
      <c r="A18" t="n">
        <v>2071</v>
      </c>
      <c r="B18" s="24">
        <f>_xlfn.XLOOKUP(PassiveEffect[[#This Row],[id]],PassiveProperty[passive_effect_id],PassiveProperty['#effect_group],"__",0)</f>
        <v/>
      </c>
      <c r="C18">
        <f>_xlfn.XLOOKUP(PassiveEffect[[#This Row],[id]],PassiveProperty[passive_effect_id],PassiveProperty['#effect_memo],"__",0)</f>
        <v/>
      </c>
      <c r="D18" t="inlineStr">
        <is>
          <t>GetStatusEffect</t>
        </is>
      </c>
      <c r="E18" t="n">
        <v>107101</v>
      </c>
      <c r="F18" t="n">
        <v>-1</v>
      </c>
      <c r="G18" t="n">
        <v>-1</v>
      </c>
      <c r="H18" t="n">
        <v>-1</v>
      </c>
      <c r="I18" t="n">
        <v>-1</v>
      </c>
    </row>
    <row r="19">
      <c r="A19" t="n">
        <v>2081</v>
      </c>
      <c r="B19" s="24">
        <f>_xlfn.XLOOKUP(PassiveEffect[[#This Row],[id]],PassiveProperty[passive_effect_id],PassiveProperty['#effect_group],"__",0)</f>
        <v/>
      </c>
      <c r="C19">
        <f>_xlfn.XLOOKUP(PassiveEffect[[#This Row],[id]],PassiveProperty[passive_effect_id],PassiveProperty['#effect_memo],"__",0)</f>
        <v/>
      </c>
      <c r="D19" t="inlineStr">
        <is>
          <t>ModSkillCooldownHaste</t>
        </is>
      </c>
      <c r="E19" t="n">
        <v>-1</v>
      </c>
      <c r="F19" t="n">
        <v>800</v>
      </c>
      <c r="G19" t="n">
        <v>-1</v>
      </c>
      <c r="H19" t="n">
        <v>-1</v>
      </c>
      <c r="I19" t="n">
        <v>-1</v>
      </c>
    </row>
    <row r="20" ht="17.25" customFormat="1" customHeight="1" s="36" thickBot="1">
      <c r="A20" s="36" t="n">
        <v>2091</v>
      </c>
      <c r="B20" s="37">
        <f>_xlfn.XLOOKUP(PassiveEffect[[#This Row],[id]],PassiveProperty[passive_effect_id],PassiveProperty['#effect_group],"__",0)</f>
        <v/>
      </c>
      <c r="C20" s="36">
        <f>_xlfn.XLOOKUP(PassiveEffect[[#This Row],[id]],PassiveProperty[passive_effect_id],PassiveProperty['#effect_memo],"__",0)</f>
        <v/>
      </c>
      <c r="D20" s="36" t="inlineStr">
        <is>
          <t>GetStatusEffect</t>
        </is>
      </c>
      <c r="E20" s="36" t="n">
        <v>109101</v>
      </c>
      <c r="F20" s="36" t="n">
        <v>-1</v>
      </c>
      <c r="G20" s="36" t="n">
        <v>-1</v>
      </c>
      <c r="H20" s="36" t="n">
        <v>-1</v>
      </c>
      <c r="I20" s="36" t="n">
        <v>-1</v>
      </c>
    </row>
    <row r="21">
      <c r="A21" t="n">
        <v>110011</v>
      </c>
      <c r="B21" s="24">
        <f>_xlfn.XLOOKUP(PassiveEffect[[#This Row],[id]],PassiveProperty[passive_effect_id],PassiveProperty['#effect_group],"__",0)</f>
        <v/>
      </c>
      <c r="C21">
        <f>_xlfn.XLOOKUP(PassiveEffect[[#This Row],[id]],PassiveProperty[passive_effect_id],PassiveProperty['#effect_memo],"__",0)</f>
        <v/>
      </c>
      <c r="D21" t="inlineStr">
        <is>
          <t>ModRateAttack</t>
        </is>
      </c>
      <c r="E21" t="n">
        <v>-1</v>
      </c>
      <c r="F21" t="n">
        <v>1000</v>
      </c>
      <c r="G21" t="n">
        <v>-1</v>
      </c>
      <c r="H21" t="n">
        <v>-1</v>
      </c>
      <c r="I21" t="n">
        <v>-1</v>
      </c>
    </row>
    <row r="22">
      <c r="A22" t="n">
        <v>110021</v>
      </c>
      <c r="B22" s="24">
        <f>_xlfn.XLOOKUP(PassiveEffect[[#This Row],[id]],PassiveProperty[passive_effect_id],PassiveProperty['#effect_group],"__",0)</f>
        <v/>
      </c>
      <c r="C22">
        <f>_xlfn.XLOOKUP(PassiveEffect[[#This Row],[id]],PassiveProperty[passive_effect_id],PassiveProperty['#effect_memo],"__",0)</f>
        <v/>
      </c>
      <c r="D22" t="inlineStr">
        <is>
          <t>ModRateFireRate</t>
        </is>
      </c>
      <c r="E22" t="n">
        <v>-1</v>
      </c>
      <c r="F22" t="n">
        <v>750</v>
      </c>
      <c r="G22" t="n">
        <v>-1</v>
      </c>
      <c r="H22" t="n">
        <v>-1</v>
      </c>
      <c r="I22" t="n">
        <v>-1</v>
      </c>
    </row>
    <row r="23">
      <c r="A23" t="n">
        <v>110031</v>
      </c>
      <c r="B23" s="24">
        <f>_xlfn.XLOOKUP(PassiveEffect[[#This Row],[id]],PassiveProperty[passive_effect_id],PassiveProperty['#effect_group],"__",0)</f>
        <v/>
      </c>
      <c r="C23">
        <f>_xlfn.XLOOKUP(PassiveEffect[[#This Row],[id]],PassiveProperty[passive_effect_id],PassiveProperty['#effect_memo],"__",0)</f>
        <v/>
      </c>
      <c r="D23" t="inlineStr">
        <is>
          <t>ModRateMoveSpeed</t>
        </is>
      </c>
      <c r="E23" t="n">
        <v>-1</v>
      </c>
      <c r="F23" t="n">
        <v>750</v>
      </c>
      <c r="G23" t="n">
        <v>-1</v>
      </c>
      <c r="H23" t="n">
        <v>-1</v>
      </c>
      <c r="I23" t="n">
        <v>-1</v>
      </c>
    </row>
    <row r="24">
      <c r="A24" t="n">
        <v>110041</v>
      </c>
      <c r="B24" s="24">
        <f>_xlfn.XLOOKUP(PassiveEffect[[#This Row],[id]],PassiveProperty[passive_effect_id],PassiveProperty['#effect_group],"__",0)</f>
        <v/>
      </c>
      <c r="C24">
        <f>_xlfn.XLOOKUP(PassiveEffect[[#This Row],[id]],PassiveProperty[passive_effect_id],PassiveProperty['#effect_memo],"__",0)</f>
        <v/>
      </c>
      <c r="D24" t="inlineStr">
        <is>
          <t>ModRateMoa</t>
        </is>
      </c>
      <c r="E24" t="n">
        <v>-1</v>
      </c>
      <c r="F24" t="n">
        <v>-4000</v>
      </c>
      <c r="G24" t="n">
        <v>-1</v>
      </c>
      <c r="H24" t="n">
        <v>-1</v>
      </c>
      <c r="I24" t="n">
        <v>-1</v>
      </c>
    </row>
    <row r="25">
      <c r="A25" t="n">
        <v>110051</v>
      </c>
      <c r="B25" s="24">
        <f>_xlfn.XLOOKUP(PassiveEffect[[#This Row],[id]],PassiveProperty[passive_effect_id],PassiveProperty['#effect_group],"__",0)</f>
        <v/>
      </c>
      <c r="C25">
        <f>_xlfn.XLOOKUP(PassiveEffect[[#This Row],[id]],PassiveProperty[passive_effect_id],PassiveProperty['#effect_memo],"__",0)</f>
        <v/>
      </c>
      <c r="D25" t="inlineStr">
        <is>
          <t>ModRateReloadTime</t>
        </is>
      </c>
      <c r="E25" t="n">
        <v>-1</v>
      </c>
      <c r="F25" t="n">
        <v>-4000</v>
      </c>
      <c r="G25" t="n">
        <v>-1</v>
      </c>
      <c r="H25" t="n">
        <v>-1</v>
      </c>
      <c r="I25" t="n">
        <v>-1</v>
      </c>
    </row>
    <row r="26">
      <c r="A26" t="n">
        <v>110061</v>
      </c>
      <c r="B26" s="24">
        <f>_xlfn.XLOOKUP(PassiveEffect[[#This Row],[id]],PassiveProperty[passive_effect_id],PassiveProperty['#effect_group],"__",0)</f>
        <v/>
      </c>
      <c r="C26">
        <f>_xlfn.XLOOKUP(PassiveEffect[[#This Row],[id]],PassiveProperty[passive_effect_id],PassiveProperty['#effect_memo],"__",0)</f>
        <v/>
      </c>
      <c r="D26" t="inlineStr">
        <is>
          <t>ModMaxHealth</t>
        </is>
      </c>
      <c r="E26" t="n">
        <v>-1</v>
      </c>
      <c r="F26" t="n">
        <v>35</v>
      </c>
      <c r="G26" t="n">
        <v>-1</v>
      </c>
      <c r="H26" t="n">
        <v>-1</v>
      </c>
      <c r="I26" t="n">
        <v>-1</v>
      </c>
    </row>
    <row r="27">
      <c r="A27" t="n">
        <v>110071</v>
      </c>
      <c r="B27" s="24">
        <f>_xlfn.XLOOKUP(PassiveEffect[[#This Row],[id]],PassiveProperty[passive_effect_id],PassiveProperty['#effect_group],"__",0)</f>
        <v/>
      </c>
      <c r="C27">
        <f>_xlfn.XLOOKUP(PassiveEffect[[#This Row],[id]],PassiveProperty[passive_effect_id],PassiveProperty['#effect_memo],"__",0)</f>
        <v/>
      </c>
      <c r="D27" t="inlineStr">
        <is>
          <t>GetStatusEffect</t>
        </is>
      </c>
      <c r="E27" t="n">
        <v>107101</v>
      </c>
      <c r="F27" t="n">
        <v>-1</v>
      </c>
      <c r="G27" t="n">
        <v>-1</v>
      </c>
      <c r="H27" t="n">
        <v>-1</v>
      </c>
      <c r="I27" t="n">
        <v>-1</v>
      </c>
    </row>
    <row r="28">
      <c r="A28" t="n">
        <v>110081</v>
      </c>
      <c r="B28" s="24">
        <f>_xlfn.XLOOKUP(PassiveEffect[[#This Row],[id]],PassiveProperty[passive_effect_id],PassiveProperty['#effect_group],"__",0)</f>
        <v/>
      </c>
      <c r="C28">
        <f>_xlfn.XLOOKUP(PassiveEffect[[#This Row],[id]],PassiveProperty[passive_effect_id],PassiveProperty['#effect_memo],"__",0)</f>
        <v/>
      </c>
      <c r="D28" t="inlineStr">
        <is>
          <t>ModSkillCooldownHaste</t>
        </is>
      </c>
      <c r="E28" t="n">
        <v>-1</v>
      </c>
      <c r="F28" t="n">
        <v>400</v>
      </c>
      <c r="G28" t="n">
        <v>-1</v>
      </c>
      <c r="H28" t="n">
        <v>-1</v>
      </c>
      <c r="I28" t="n">
        <v>-1</v>
      </c>
    </row>
    <row r="29" ht="17.25" customFormat="1" customHeight="1" s="36" thickBot="1">
      <c r="A29" s="36" t="n">
        <v>110091</v>
      </c>
      <c r="B29" s="37">
        <f>_xlfn.XLOOKUP(PassiveEffect[[#This Row],[id]],PassiveProperty[passive_effect_id],PassiveProperty['#effect_group],"__",0)</f>
        <v/>
      </c>
      <c r="C29" s="36">
        <f>_xlfn.XLOOKUP(PassiveEffect[[#This Row],[id]],PassiveProperty[passive_effect_id],PassiveProperty['#effect_memo],"__",0)</f>
        <v/>
      </c>
      <c r="D29" s="36" t="inlineStr">
        <is>
          <t>GetStatusEffect</t>
        </is>
      </c>
      <c r="E29" s="36" t="n">
        <v>109101</v>
      </c>
      <c r="F29" s="36" t="n">
        <v>-1</v>
      </c>
      <c r="G29" s="36" t="n">
        <v>-1</v>
      </c>
      <c r="H29" s="36" t="n">
        <v>-1</v>
      </c>
      <c r="I29" s="36" t="n">
        <v>-1</v>
      </c>
    </row>
    <row r="30">
      <c r="A30" t="n">
        <v>101011011</v>
      </c>
      <c r="B30" s="24">
        <f>_xlfn.XLOOKUP(PassiveEffect[[#This Row],[id]],PassiveProperty[passive_effect_id],PassiveProperty['#effect_group],"__",0)</f>
        <v/>
      </c>
      <c r="C30">
        <f>_xlfn.XLOOKUP(PassiveEffect[[#This Row],[id]],PassiveProperty[passive_effect_id],PassiveProperty['#effect_memo],"__",0)</f>
        <v/>
      </c>
      <c r="D30" t="inlineStr">
        <is>
          <t>ModRateAttack</t>
        </is>
      </c>
      <c r="E30" t="n">
        <v>-1</v>
      </c>
      <c r="F30" t="n">
        <v>1000</v>
      </c>
      <c r="G30" t="n">
        <v>-1</v>
      </c>
      <c r="H30" t="n">
        <v>-1</v>
      </c>
      <c r="I30" t="n">
        <v>-1</v>
      </c>
    </row>
    <row r="31">
      <c r="A31" t="n">
        <v>101011021</v>
      </c>
      <c r="B31" s="24">
        <f>_xlfn.XLOOKUP(PassiveEffect[[#This Row],[id]],PassiveProperty[passive_effect_id],PassiveProperty['#effect_group],"__",0)</f>
        <v/>
      </c>
      <c r="C31">
        <f>_xlfn.XLOOKUP(PassiveEffect[[#This Row],[id]],PassiveProperty[passive_effect_id],PassiveProperty['#effect_memo],"__",0)</f>
        <v/>
      </c>
      <c r="D31" t="inlineStr">
        <is>
          <t>ModRateFireRate</t>
        </is>
      </c>
      <c r="E31" t="n">
        <v>-1</v>
      </c>
      <c r="F31" t="n">
        <v>750</v>
      </c>
      <c r="G31" t="n">
        <v>-1</v>
      </c>
      <c r="H31" t="n">
        <v>-1</v>
      </c>
      <c r="I31" t="n">
        <v>-1</v>
      </c>
    </row>
    <row r="32">
      <c r="A32" t="n">
        <v>101011031</v>
      </c>
      <c r="B32" s="24">
        <f>_xlfn.XLOOKUP(PassiveEffect[[#This Row],[id]],PassiveProperty[passive_effect_id],PassiveProperty['#effect_group],"__",0)</f>
        <v/>
      </c>
      <c r="C32">
        <f>_xlfn.XLOOKUP(PassiveEffect[[#This Row],[id]],PassiveProperty[passive_effect_id],PassiveProperty['#effect_memo],"__",0)</f>
        <v/>
      </c>
      <c r="D32" t="inlineStr">
        <is>
          <t>ModRateMoveSpeed</t>
        </is>
      </c>
      <c r="E32" t="n">
        <v>-1</v>
      </c>
      <c r="F32" t="n">
        <v>750</v>
      </c>
      <c r="G32" t="n">
        <v>-1</v>
      </c>
      <c r="H32" t="n">
        <v>-1</v>
      </c>
      <c r="I32" t="n">
        <v>-1</v>
      </c>
    </row>
    <row r="33">
      <c r="A33" t="n">
        <v>101011041</v>
      </c>
      <c r="B33" s="24">
        <f>_xlfn.XLOOKUP(PassiveEffect[[#This Row],[id]],PassiveProperty[passive_effect_id],PassiveProperty['#effect_group],"__",0)</f>
        <v/>
      </c>
      <c r="C33">
        <f>_xlfn.XLOOKUP(PassiveEffect[[#This Row],[id]],PassiveProperty[passive_effect_id],PassiveProperty['#effect_memo],"__",0)</f>
        <v/>
      </c>
      <c r="D33" t="inlineStr">
        <is>
          <t>ModRateMoa</t>
        </is>
      </c>
      <c r="E33" t="n">
        <v>-1</v>
      </c>
      <c r="F33" t="n">
        <v>-4000</v>
      </c>
      <c r="G33" t="n">
        <v>-1</v>
      </c>
      <c r="H33" t="n">
        <v>-1</v>
      </c>
      <c r="I33" t="n">
        <v>-1</v>
      </c>
    </row>
    <row r="34">
      <c r="A34" t="n">
        <v>101011051</v>
      </c>
      <c r="B34" s="24">
        <f>_xlfn.XLOOKUP(PassiveEffect[[#This Row],[id]],PassiveProperty[passive_effect_id],PassiveProperty['#effect_group],"__",0)</f>
        <v/>
      </c>
      <c r="C34">
        <f>_xlfn.XLOOKUP(PassiveEffect[[#This Row],[id]],PassiveProperty[passive_effect_id],PassiveProperty['#effect_memo],"__",0)</f>
        <v/>
      </c>
      <c r="D34" t="inlineStr">
        <is>
          <t>ModRateReloadTime</t>
        </is>
      </c>
      <c r="E34" t="n">
        <v>-1</v>
      </c>
      <c r="F34" t="n">
        <v>-4000</v>
      </c>
      <c r="G34" t="n">
        <v>-1</v>
      </c>
      <c r="H34" t="n">
        <v>-1</v>
      </c>
      <c r="I34" t="n">
        <v>-1</v>
      </c>
    </row>
    <row r="35">
      <c r="A35" t="n">
        <v>101011061</v>
      </c>
      <c r="B35" s="24">
        <f>_xlfn.XLOOKUP(PassiveEffect[[#This Row],[id]],PassiveProperty[passive_effect_id],PassiveProperty['#effect_group],"__",0)</f>
        <v/>
      </c>
      <c r="C35">
        <f>_xlfn.XLOOKUP(PassiveEffect[[#This Row],[id]],PassiveProperty[passive_effect_id],PassiveProperty['#effect_memo],"__",0)</f>
        <v/>
      </c>
      <c r="D35" t="inlineStr">
        <is>
          <t>ModMaxHealth</t>
        </is>
      </c>
      <c r="E35" t="n">
        <v>-1</v>
      </c>
      <c r="F35" t="n">
        <v>35</v>
      </c>
      <c r="G35" t="n">
        <v>-1</v>
      </c>
      <c r="H35" t="n">
        <v>-1</v>
      </c>
      <c r="I35" t="n">
        <v>-1</v>
      </c>
    </row>
    <row r="36">
      <c r="A36" t="n">
        <v>101011071</v>
      </c>
      <c r="B36" s="24">
        <f>_xlfn.XLOOKUP(PassiveEffect[[#This Row],[id]],PassiveProperty[passive_effect_id],PassiveProperty['#effect_group],"__",0)</f>
        <v/>
      </c>
      <c r="C36">
        <f>_xlfn.XLOOKUP(PassiveEffect[[#This Row],[id]],PassiveProperty[passive_effect_id],PassiveProperty['#effect_memo],"__",0)</f>
        <v/>
      </c>
      <c r="D36" t="inlineStr">
        <is>
          <t>GetStatusEffect</t>
        </is>
      </c>
      <c r="E36" t="n">
        <v>107101</v>
      </c>
      <c r="F36" t="n">
        <v>-1</v>
      </c>
      <c r="G36" t="n">
        <v>-1</v>
      </c>
      <c r="H36" t="n">
        <v>-1</v>
      </c>
      <c r="I36" t="n">
        <v>-1</v>
      </c>
    </row>
    <row r="37">
      <c r="A37" t="n">
        <v>101011081</v>
      </c>
      <c r="B37" s="24">
        <f>_xlfn.XLOOKUP(PassiveEffect[[#This Row],[id]],PassiveProperty[passive_effect_id],PassiveProperty['#effect_group],"__",0)</f>
        <v/>
      </c>
      <c r="C37">
        <f>_xlfn.XLOOKUP(PassiveEffect[[#This Row],[id]],PassiveProperty[passive_effect_id],PassiveProperty['#effect_memo],"__",0)</f>
        <v/>
      </c>
      <c r="D37" t="inlineStr">
        <is>
          <t>ModSkillCooldownHaste</t>
        </is>
      </c>
      <c r="E37" t="n">
        <v>-1</v>
      </c>
      <c r="F37" t="n">
        <v>400</v>
      </c>
      <c r="G37" t="n">
        <v>-1</v>
      </c>
      <c r="H37" t="n">
        <v>-1</v>
      </c>
      <c r="I37" t="n">
        <v>-1</v>
      </c>
    </row>
    <row r="38" ht="17.25" customFormat="1" customHeight="1" s="36" thickBot="1">
      <c r="A38" s="36" t="n">
        <v>101011091</v>
      </c>
      <c r="B38" s="37">
        <f>_xlfn.XLOOKUP(PassiveEffect[[#This Row],[id]],PassiveProperty[passive_effect_id],PassiveProperty['#effect_group],"__",0)</f>
        <v/>
      </c>
      <c r="C38" s="36">
        <f>_xlfn.XLOOKUP(PassiveEffect[[#This Row],[id]],PassiveProperty[passive_effect_id],PassiveProperty['#effect_memo],"__",0)</f>
        <v/>
      </c>
      <c r="D38" s="36" t="inlineStr">
        <is>
          <t>GetStatusEffect</t>
        </is>
      </c>
      <c r="E38" s="36" t="n">
        <v>109101</v>
      </c>
      <c r="F38" s="36" t="n">
        <v>-1</v>
      </c>
      <c r="G38" s="36" t="n">
        <v>-1</v>
      </c>
      <c r="H38" s="36" t="n">
        <v>-1</v>
      </c>
      <c r="I38" s="36" t="n">
        <v>-1</v>
      </c>
    </row>
    <row r="39" ht="17.25" customHeight="1">
      <c r="A39" t="n">
        <v>101012011</v>
      </c>
      <c r="B39" s="24">
        <f>_xlfn.XLOOKUP(PassiveEffect[[#This Row],[id]],PassiveProperty[passive_effect_id],PassiveProperty['#effect_group],"__",0)</f>
        <v/>
      </c>
      <c r="C39">
        <f>_xlfn.XLOOKUP(PassiveEffect[[#This Row],[id]],PassiveProperty[passive_effect_id],PassiveProperty['#effect_memo],"__",0)</f>
        <v/>
      </c>
      <c r="D39" t="inlineStr">
        <is>
          <t>ModRateAttack</t>
        </is>
      </c>
      <c r="E39" t="n">
        <v>-1</v>
      </c>
      <c r="F39" t="n">
        <v>2000</v>
      </c>
      <c r="G39" t="n">
        <v>-1</v>
      </c>
      <c r="H39" t="n">
        <v>-1</v>
      </c>
      <c r="I39" t="n">
        <v>-1</v>
      </c>
    </row>
    <row r="40" ht="17.25" customHeight="1">
      <c r="A40" t="n">
        <v>101012021</v>
      </c>
      <c r="B40" s="24">
        <f>_xlfn.XLOOKUP(PassiveEffect[[#This Row],[id]],PassiveProperty[passive_effect_id],PassiveProperty['#effect_group],"__",0)</f>
        <v/>
      </c>
      <c r="C40">
        <f>_xlfn.XLOOKUP(PassiveEffect[[#This Row],[id]],PassiveProperty[passive_effect_id],PassiveProperty['#effect_memo],"__",0)</f>
        <v/>
      </c>
      <c r="D40" t="inlineStr">
        <is>
          <t>ModRateFireRate</t>
        </is>
      </c>
      <c r="E40" t="n">
        <v>-1</v>
      </c>
      <c r="F40" t="n">
        <v>1500</v>
      </c>
      <c r="G40" t="n">
        <v>-1</v>
      </c>
      <c r="H40" t="n">
        <v>-1</v>
      </c>
      <c r="I40" t="n">
        <v>-1</v>
      </c>
    </row>
    <row r="41" ht="17.25" customHeight="1">
      <c r="A41" t="n">
        <v>101012031</v>
      </c>
      <c r="B41" s="24">
        <f>_xlfn.XLOOKUP(PassiveEffect[[#This Row],[id]],PassiveProperty[passive_effect_id],PassiveProperty['#effect_group],"__",0)</f>
        <v/>
      </c>
      <c r="C41">
        <f>_xlfn.XLOOKUP(PassiveEffect[[#This Row],[id]],PassiveProperty[passive_effect_id],PassiveProperty['#effect_memo],"__",0)</f>
        <v/>
      </c>
      <c r="D41" t="inlineStr">
        <is>
          <t>ModRateMoveSpeed</t>
        </is>
      </c>
      <c r="E41" t="n">
        <v>-1</v>
      </c>
      <c r="F41" t="n">
        <v>1500</v>
      </c>
      <c r="G41" t="n">
        <v>-1</v>
      </c>
      <c r="H41" t="n">
        <v>-1</v>
      </c>
      <c r="I41" t="n">
        <v>-1</v>
      </c>
    </row>
    <row r="42" ht="17.25" customHeight="1">
      <c r="A42" t="n">
        <v>101012041</v>
      </c>
      <c r="B42" s="24">
        <f>_xlfn.XLOOKUP(PassiveEffect[[#This Row],[id]],PassiveProperty[passive_effect_id],PassiveProperty['#effect_group],"__",0)</f>
        <v/>
      </c>
      <c r="C42">
        <f>_xlfn.XLOOKUP(PassiveEffect[[#This Row],[id]],PassiveProperty[passive_effect_id],PassiveProperty['#effect_memo],"__",0)</f>
        <v/>
      </c>
      <c r="D42" t="inlineStr">
        <is>
          <t>ModRateMoa</t>
        </is>
      </c>
      <c r="E42" t="n">
        <v>-1</v>
      </c>
      <c r="F42" t="n">
        <v>-8000</v>
      </c>
      <c r="G42" t="n">
        <v>-1</v>
      </c>
      <c r="H42" t="n">
        <v>-1</v>
      </c>
      <c r="I42" t="n">
        <v>-1</v>
      </c>
    </row>
    <row r="43" ht="17.25" customHeight="1">
      <c r="A43" t="n">
        <v>101012051</v>
      </c>
      <c r="B43" s="24">
        <f>_xlfn.XLOOKUP(PassiveEffect[[#This Row],[id]],PassiveProperty[passive_effect_id],PassiveProperty['#effect_group],"__",0)</f>
        <v/>
      </c>
      <c r="C43">
        <f>_xlfn.XLOOKUP(PassiveEffect[[#This Row],[id]],PassiveProperty[passive_effect_id],PassiveProperty['#effect_memo],"__",0)</f>
        <v/>
      </c>
      <c r="D43" t="inlineStr">
        <is>
          <t>ModRateReloadTime</t>
        </is>
      </c>
      <c r="E43" t="n">
        <v>-1</v>
      </c>
      <c r="F43" t="n">
        <v>-8000</v>
      </c>
      <c r="G43" t="n">
        <v>-1</v>
      </c>
      <c r="H43" t="n">
        <v>-1</v>
      </c>
      <c r="I43" t="n">
        <v>-1</v>
      </c>
    </row>
    <row r="44" ht="17.25" customHeight="1">
      <c r="A44" t="n">
        <v>101012061</v>
      </c>
      <c r="B44" s="24">
        <f>_xlfn.XLOOKUP(PassiveEffect[[#This Row],[id]],PassiveProperty[passive_effect_id],PassiveProperty['#effect_group],"__",0)</f>
        <v/>
      </c>
      <c r="C44">
        <f>_xlfn.XLOOKUP(PassiveEffect[[#This Row],[id]],PassiveProperty[passive_effect_id],PassiveProperty['#effect_memo],"__",0)</f>
        <v/>
      </c>
      <c r="D44" t="inlineStr">
        <is>
          <t>ModMaxHealth</t>
        </is>
      </c>
      <c r="E44" t="n">
        <v>-1</v>
      </c>
      <c r="F44" t="n">
        <v>70</v>
      </c>
      <c r="G44" t="n">
        <v>-1</v>
      </c>
      <c r="H44" t="n">
        <v>-1</v>
      </c>
      <c r="I44" t="n">
        <v>-1</v>
      </c>
    </row>
    <row r="45" ht="17.25" customHeight="1">
      <c r="A45" t="n">
        <v>101012071</v>
      </c>
      <c r="B45" s="24">
        <f>_xlfn.XLOOKUP(PassiveEffect[[#This Row],[id]],PassiveProperty[passive_effect_id],PassiveProperty['#effect_group],"__",0)</f>
        <v/>
      </c>
      <c r="C45">
        <f>_xlfn.XLOOKUP(PassiveEffect[[#This Row],[id]],PassiveProperty[passive_effect_id],PassiveProperty['#effect_memo],"__",0)</f>
        <v/>
      </c>
      <c r="D45" t="inlineStr">
        <is>
          <t>GetStatusEffect</t>
        </is>
      </c>
      <c r="E45" t="n">
        <v>107101</v>
      </c>
      <c r="F45" t="n">
        <v>-1</v>
      </c>
      <c r="G45" t="n">
        <v>-1</v>
      </c>
      <c r="H45" t="n">
        <v>-1</v>
      </c>
      <c r="I45" t="n">
        <v>-1</v>
      </c>
    </row>
    <row r="46" ht="17.25" customHeight="1">
      <c r="A46" t="n">
        <v>101012081</v>
      </c>
      <c r="B46" s="24">
        <f>_xlfn.XLOOKUP(PassiveEffect[[#This Row],[id]],PassiveProperty[passive_effect_id],PassiveProperty['#effect_group],"__",0)</f>
        <v/>
      </c>
      <c r="C46">
        <f>_xlfn.XLOOKUP(PassiveEffect[[#This Row],[id]],PassiveProperty[passive_effect_id],PassiveProperty['#effect_memo],"__",0)</f>
        <v/>
      </c>
      <c r="D46" t="inlineStr">
        <is>
          <t>ModSkillCooldownHaste</t>
        </is>
      </c>
      <c r="E46" t="n">
        <v>-1</v>
      </c>
      <c r="F46" t="n">
        <v>800</v>
      </c>
      <c r="G46" t="n">
        <v>-1</v>
      </c>
      <c r="H46" t="n">
        <v>-1</v>
      </c>
      <c r="I46" t="n">
        <v>-1</v>
      </c>
    </row>
    <row r="47" ht="17.25" customFormat="1" customHeight="1" s="36" thickBot="1">
      <c r="A47" s="36" t="n">
        <v>101012091</v>
      </c>
      <c r="B47" s="37">
        <f>_xlfn.XLOOKUP(PassiveEffect[[#This Row],[id]],PassiveProperty[passive_effect_id],PassiveProperty['#effect_group],"__",0)</f>
        <v/>
      </c>
      <c r="C47" s="36">
        <f>_xlfn.XLOOKUP(PassiveEffect[[#This Row],[id]],PassiveProperty[passive_effect_id],PassiveProperty['#effect_memo],"__",0)</f>
        <v/>
      </c>
      <c r="D47" s="36" t="inlineStr">
        <is>
          <t>GetStatusEffect</t>
        </is>
      </c>
      <c r="E47" s="36" t="n">
        <v>109101</v>
      </c>
      <c r="F47" s="36" t="n">
        <v>-1</v>
      </c>
      <c r="G47" s="36" t="n">
        <v>-1</v>
      </c>
      <c r="H47" s="36" t="n">
        <v>-1</v>
      </c>
      <c r="I47" s="36" t="n">
        <v>-1</v>
      </c>
    </row>
    <row r="48">
      <c r="A48" t="n">
        <v>1001001</v>
      </c>
      <c r="B48" s="24">
        <f>_xlfn.XLOOKUP(PassiveEffect[[#This Row],[id]],PassiveProperty[passive_effect_id],PassiveProperty['#effect_group],"__",0)</f>
        <v/>
      </c>
      <c r="C48">
        <f>_xlfn.XLOOKUP(PassiveEffect[[#This Row],[id]],PassiveProperty[passive_effect_id],PassiveProperty['#effect_memo],"__",0)</f>
        <v/>
      </c>
      <c r="D48" t="inlineStr">
        <is>
          <t>DeferDamageTaken</t>
        </is>
      </c>
      <c r="E48" t="n">
        <v>1001001</v>
      </c>
      <c r="F48" t="n">
        <v>5000</v>
      </c>
      <c r="G48" t="n">
        <v>-1</v>
      </c>
      <c r="H48" t="n">
        <v>-1</v>
      </c>
      <c r="I48" t="n">
        <v>-1</v>
      </c>
    </row>
    <row r="49">
      <c r="A49" t="n">
        <v>2001001</v>
      </c>
      <c r="B49" s="24">
        <f>_xlfn.XLOOKUP(PassiveEffect[[#This Row],[id]],PassiveProperty[passive_effect_id],PassiveProperty['#effect_group],"__",0)</f>
        <v/>
      </c>
      <c r="C49">
        <f>_xlfn.XLOOKUP(PassiveEffect[[#This Row],[id]],PassiveProperty[passive_effect_id],PassiveProperty['#effect_memo],"__",0)</f>
        <v/>
      </c>
      <c r="D49" t="inlineStr">
        <is>
          <t>GetStatusEffect</t>
        </is>
      </c>
      <c r="E49" t="n">
        <v>2001001</v>
      </c>
      <c r="F49" t="n">
        <v>0</v>
      </c>
      <c r="G49" t="n">
        <v>-1</v>
      </c>
      <c r="H49" t="n">
        <v>-1</v>
      </c>
      <c r="I49" t="n">
        <v>-1</v>
      </c>
    </row>
    <row r="50">
      <c r="A50" t="n">
        <v>2001002</v>
      </c>
      <c r="B50" s="24">
        <f>_xlfn.XLOOKUP(PassiveEffect[[#This Row],[id]],PassiveProperty[passive_effect_id],PassiveProperty['#effect_group],"__",0)</f>
        <v/>
      </c>
      <c r="C50">
        <f>_xlfn.XLOOKUP(PassiveEffect[[#This Row],[id]],PassiveProperty[passive_effect_id],PassiveProperty['#effect_memo],"__",0)</f>
        <v/>
      </c>
      <c r="D50" t="inlineStr">
        <is>
          <t>GetStatusEffect</t>
        </is>
      </c>
      <c r="E50" t="n">
        <v>20011012</v>
      </c>
      <c r="F50" t="n">
        <v>4000</v>
      </c>
      <c r="G50" t="n">
        <v>-1</v>
      </c>
      <c r="H50" t="n">
        <v>-1</v>
      </c>
      <c r="I50" t="n">
        <v>-1</v>
      </c>
    </row>
    <row r="51">
      <c r="A51" t="n">
        <v>2001003</v>
      </c>
      <c r="B51" s="24">
        <f>_xlfn.XLOOKUP(PassiveEffect[[#This Row],[id]],PassiveProperty[passive_effect_id],PassiveProperty['#effect_group],"__",0)</f>
        <v/>
      </c>
      <c r="C51">
        <f>_xlfn.XLOOKUP(PassiveEffect[[#This Row],[id]],PassiveProperty[passive_effect_id],PassiveProperty['#effect_memo],"__",0)</f>
        <v/>
      </c>
      <c r="D51" t="inlineStr">
        <is>
          <t>GetStatusEffect</t>
        </is>
      </c>
      <c r="E51" t="n">
        <v>2001003</v>
      </c>
      <c r="F51" t="n">
        <v>-1</v>
      </c>
      <c r="G51" t="n">
        <v>-1</v>
      </c>
      <c r="H51" t="n">
        <v>-1</v>
      </c>
      <c r="I51" t="n">
        <v>-1</v>
      </c>
    </row>
    <row r="52">
      <c r="A52" t="n">
        <v>2001301</v>
      </c>
      <c r="B52" s="24">
        <f>_xlfn.XLOOKUP(PassiveEffect[[#This Row],[id]],PassiveProperty[passive_effect_id],PassiveProperty['#effect_group],"__",0)</f>
        <v/>
      </c>
      <c r="C52">
        <f>_xlfn.XLOOKUP(PassiveEffect[[#This Row],[id]],PassiveProperty[passive_effect_id],PassiveProperty['#effect_memo],"__",0)</f>
        <v/>
      </c>
      <c r="D52" t="inlineStr">
        <is>
          <t>GetStatusEffect</t>
        </is>
      </c>
      <c r="E52" t="n">
        <v>2001301</v>
      </c>
      <c r="F52" t="n">
        <v>-1</v>
      </c>
      <c r="G52" t="n">
        <v>-1</v>
      </c>
      <c r="H52" t="n">
        <v>-1</v>
      </c>
      <c r="I52" t="n">
        <v>-1</v>
      </c>
    </row>
    <row r="53">
      <c r="A53" t="n">
        <v>3001001</v>
      </c>
      <c r="B53" s="24">
        <f>_xlfn.XLOOKUP(PassiveEffect[[#This Row],[id]],PassiveProperty[passive_effect_id],PassiveProperty['#effect_group],"__",0)</f>
        <v/>
      </c>
      <c r="C53">
        <f>_xlfn.XLOOKUP(PassiveEffect[[#This Row],[id]],PassiveProperty[passive_effect_id],PassiveProperty['#effect_memo],"__",0)</f>
        <v/>
      </c>
      <c r="D53" t="inlineStr">
        <is>
          <t>RunExcuteConditionSource</t>
        </is>
      </c>
      <c r="E53" t="n">
        <v>3001001</v>
      </c>
      <c r="F53" t="n">
        <v>-1</v>
      </c>
      <c r="G53" t="n">
        <v>-1</v>
      </c>
      <c r="H53" t="n">
        <v>-1</v>
      </c>
      <c r="I53" t="n">
        <v>-1</v>
      </c>
    </row>
    <row r="54">
      <c r="A54" t="n">
        <v>3001002</v>
      </c>
      <c r="B54" s="24">
        <f>_xlfn.XLOOKUP(PassiveEffect[[#This Row],[id]],PassiveProperty[passive_effect_id],PassiveProperty['#effect_group],"__",0)</f>
        <v/>
      </c>
      <c r="C54">
        <f>_xlfn.XLOOKUP(PassiveEffect[[#This Row],[id]],PassiveProperty[passive_effect_id],PassiveProperty['#effect_memo],"__",0)</f>
        <v/>
      </c>
      <c r="D54" t="inlineStr">
        <is>
          <t>GetStatusEffectConditionSource</t>
        </is>
      </c>
      <c r="E54" t="n">
        <v>3001002</v>
      </c>
      <c r="F54" t="n">
        <v>500</v>
      </c>
      <c r="G54" t="n">
        <v>-1</v>
      </c>
      <c r="H54" t="n">
        <v>-1</v>
      </c>
      <c r="I54" t="n">
        <v>-1</v>
      </c>
    </row>
    <row r="55">
      <c r="A55" t="n">
        <v>3001301</v>
      </c>
      <c r="B55" s="24">
        <f>_xlfn.XLOOKUP(PassiveEffect[[#This Row],[id]],PassiveProperty[passive_effect_id],PassiveProperty['#effect_group],"__",0)</f>
        <v/>
      </c>
      <c r="C55">
        <f>_xlfn.XLOOKUP(PassiveEffect[[#This Row],[id]],PassiveProperty[passive_effect_id],PassiveProperty['#effect_memo],"__",0)</f>
        <v/>
      </c>
      <c r="D55" t="inlineStr">
        <is>
          <t>GetStatusEffect</t>
        </is>
      </c>
      <c r="E55" t="n">
        <v>3001301</v>
      </c>
      <c r="F55" t="n">
        <v>-1</v>
      </c>
      <c r="G55" t="n">
        <v>-1</v>
      </c>
      <c r="H55" t="n">
        <v>-1</v>
      </c>
      <c r="I55" t="n">
        <v>-1</v>
      </c>
    </row>
    <row r="56">
      <c r="A56" t="n">
        <v>4001001</v>
      </c>
      <c r="B56" s="24">
        <f>_xlfn.XLOOKUP(PassiveEffect[[#This Row],[id]],PassiveProperty[passive_effect_id],PassiveProperty['#effect_group],"__",0)</f>
        <v/>
      </c>
      <c r="C56">
        <f>_xlfn.XLOOKUP(PassiveEffect[[#This Row],[id]],PassiveProperty[passive_effect_id],PassiveProperty['#effect_memo],"__",0)</f>
        <v/>
      </c>
      <c r="D56" t="inlineStr">
        <is>
          <t>GetStatusEffectConditionSource</t>
        </is>
      </c>
      <c r="E56" t="n">
        <v>4001001</v>
      </c>
      <c r="F56" t="n">
        <v>4000</v>
      </c>
      <c r="G56" t="n">
        <v>-1</v>
      </c>
      <c r="H56" t="n">
        <v>-1</v>
      </c>
      <c r="I56" t="n">
        <v>-1</v>
      </c>
    </row>
    <row r="57">
      <c r="A57" t="n">
        <v>4001002</v>
      </c>
      <c r="B57" s="24">
        <f>_xlfn.XLOOKUP(PassiveEffect[[#This Row],[id]],PassiveProperty[passive_effect_id],PassiveProperty['#effect_group],"__",0)</f>
        <v/>
      </c>
      <c r="C57">
        <f>_xlfn.XLOOKUP(PassiveEffect[[#This Row],[id]],PassiveProperty[passive_effect_id],PassiveProperty['#effect_memo],"__",0)</f>
        <v/>
      </c>
      <c r="D57" t="inlineStr">
        <is>
          <t>GetStatusEffect</t>
        </is>
      </c>
      <c r="E57" t="n">
        <v>4001002</v>
      </c>
      <c r="F57" t="n">
        <v>0</v>
      </c>
      <c r="G57" t="n">
        <v>-1</v>
      </c>
      <c r="H57" t="n">
        <v>-1</v>
      </c>
      <c r="I57" t="n">
        <v>-1</v>
      </c>
    </row>
    <row r="58">
      <c r="A58" t="n">
        <v>4003001</v>
      </c>
      <c r="B58" s="24">
        <f>_xlfn.XLOOKUP(PassiveEffect[[#This Row],[id]],PassiveProperty[passive_effect_id],PassiveProperty['#effect_group],"__",0)</f>
        <v/>
      </c>
      <c r="C58">
        <f>_xlfn.XLOOKUP(PassiveEffect[[#This Row],[id]],PassiveProperty[passive_effect_id],PassiveProperty['#effect_memo],"__",0)</f>
        <v/>
      </c>
      <c r="D58" t="inlineStr">
        <is>
          <t>RunExecute</t>
        </is>
      </c>
      <c r="E58" t="n">
        <v>4003001</v>
      </c>
      <c r="F58" t="n">
        <v>-1</v>
      </c>
      <c r="G58" t="n">
        <v>-1</v>
      </c>
      <c r="H58" t="n">
        <v>-1</v>
      </c>
      <c r="I58" t="n">
        <v>-1</v>
      </c>
    </row>
    <row r="59">
      <c r="A59" t="n">
        <v>4004001</v>
      </c>
      <c r="B59" s="24">
        <f>_xlfn.XLOOKUP(PassiveEffect[[#This Row],[id]],PassiveProperty[passive_effect_id],PassiveProperty['#effect_group],"__",0)</f>
        <v/>
      </c>
      <c r="C59">
        <f>_xlfn.XLOOKUP(PassiveEffect[[#This Row],[id]],PassiveProperty[passive_effect_id],PassiveProperty['#effect_memo],"__",0)</f>
        <v/>
      </c>
      <c r="D59" t="inlineStr">
        <is>
          <t>RunExecute</t>
        </is>
      </c>
      <c r="E59" t="n">
        <v>4004001</v>
      </c>
      <c r="F59" t="n">
        <v>-1</v>
      </c>
      <c r="G59" t="n">
        <v>-1</v>
      </c>
      <c r="H59" t="n">
        <v>-1</v>
      </c>
      <c r="I59" t="n">
        <v>-1</v>
      </c>
    </row>
    <row r="60">
      <c r="A60" t="n">
        <v>4004002</v>
      </c>
      <c r="B60" s="24">
        <f>_xlfn.XLOOKUP(PassiveEffect[[#This Row],[id]],PassiveProperty[passive_effect_id],PassiveProperty['#effect_group],"__",0)</f>
        <v/>
      </c>
      <c r="C60">
        <f>_xlfn.XLOOKUP(PassiveEffect[[#This Row],[id]],PassiveProperty[passive_effect_id],PassiveProperty['#effect_memo],"__",0)</f>
        <v/>
      </c>
      <c r="D60" t="inlineStr">
        <is>
          <t>RunExecute</t>
        </is>
      </c>
      <c r="E60" t="n">
        <v>4004002</v>
      </c>
      <c r="F60" t="n">
        <v>-1</v>
      </c>
      <c r="G60" t="n">
        <v>-1</v>
      </c>
      <c r="H60" t="n">
        <v>-1</v>
      </c>
      <c r="I60" t="n">
        <v>-1</v>
      </c>
    </row>
    <row r="61">
      <c r="A61" t="n">
        <v>4004003</v>
      </c>
      <c r="B61" s="24">
        <f>_xlfn.XLOOKUP(PassiveEffect[[#This Row],[id]],PassiveProperty[passive_effect_id],PassiveProperty['#effect_group],"__",0)</f>
        <v/>
      </c>
      <c r="C61">
        <f>_xlfn.XLOOKUP(PassiveEffect[[#This Row],[id]],PassiveProperty[passive_effect_id],PassiveProperty['#effect_memo],"__",0)</f>
        <v/>
      </c>
      <c r="D61" t="inlineStr">
        <is>
          <t>RunExecute</t>
        </is>
      </c>
      <c r="E61" t="n">
        <v>4004003</v>
      </c>
      <c r="F61" t="n">
        <v>-1</v>
      </c>
      <c r="G61" t="n">
        <v>-1</v>
      </c>
      <c r="H61" t="n">
        <v>-1</v>
      </c>
      <c r="I61" t="n">
        <v>-1</v>
      </c>
    </row>
    <row r="62">
      <c r="A62" t="n">
        <v>4004004</v>
      </c>
      <c r="B62" s="24">
        <f>_xlfn.XLOOKUP(PassiveEffect[[#This Row],[id]],PassiveProperty[passive_effect_id],PassiveProperty['#effect_group],"__",0)</f>
        <v/>
      </c>
      <c r="C62">
        <f>_xlfn.XLOOKUP(PassiveEffect[[#This Row],[id]],PassiveProperty[passive_effect_id],PassiveProperty['#effect_memo],"__",0)</f>
        <v/>
      </c>
      <c r="D62" t="inlineStr">
        <is>
          <t>RunExecute</t>
        </is>
      </c>
      <c r="E62" t="n">
        <v>4004004</v>
      </c>
      <c r="F62" t="n">
        <v>-1</v>
      </c>
      <c r="G62" t="n">
        <v>-1</v>
      </c>
      <c r="H62" t="n">
        <v>-1</v>
      </c>
      <c r="I62" t="n">
        <v>-1</v>
      </c>
    </row>
    <row r="63">
      <c r="A63" t="n">
        <v>4005001</v>
      </c>
      <c r="B63" s="24">
        <f>_xlfn.XLOOKUP(PassiveEffect[[#This Row],[id]],PassiveProperty[passive_effect_id],PassiveProperty['#effect_group],"__",0)</f>
        <v/>
      </c>
      <c r="C63">
        <f>_xlfn.XLOOKUP(PassiveEffect[[#This Row],[id]],PassiveProperty[passive_effect_id],PassiveProperty['#effect_memo],"__",0)</f>
        <v/>
      </c>
      <c r="D63" t="inlineStr">
        <is>
          <t>RunExecute</t>
        </is>
      </c>
      <c r="E63" t="n">
        <v>4005001</v>
      </c>
      <c r="F63" t="n">
        <v>-1</v>
      </c>
      <c r="G63" t="n">
        <v>-1</v>
      </c>
      <c r="H63" t="n">
        <v>-1</v>
      </c>
      <c r="I63" t="n">
        <v>-1</v>
      </c>
    </row>
    <row r="64">
      <c r="A64" t="n">
        <v>4005002</v>
      </c>
      <c r="B64" s="24">
        <f>_xlfn.XLOOKUP(PassiveEffect[[#This Row],[id]],PassiveProperty[passive_effect_id],PassiveProperty['#effect_group],"__",0)</f>
        <v/>
      </c>
      <c r="C64">
        <f>_xlfn.XLOOKUP(PassiveEffect[[#This Row],[id]],PassiveProperty[passive_effect_id],PassiveProperty['#effect_memo],"__",0)</f>
        <v/>
      </c>
      <c r="D64" t="inlineStr">
        <is>
          <t>RunExecute</t>
        </is>
      </c>
      <c r="E64" t="n">
        <v>4005002</v>
      </c>
      <c r="F64" t="n">
        <v>-1</v>
      </c>
      <c r="G64" t="n">
        <v>-1</v>
      </c>
      <c r="H64" t="n">
        <v>-1</v>
      </c>
      <c r="I64" t="n">
        <v>-1</v>
      </c>
    </row>
    <row r="65">
      <c r="A65" t="n">
        <v>4005003</v>
      </c>
      <c r="B65" s="24">
        <f>_xlfn.XLOOKUP(PassiveEffect[[#This Row],[id]],PassiveProperty[passive_effect_id],PassiveProperty['#effect_group],"__",0)</f>
        <v/>
      </c>
      <c r="C65">
        <f>_xlfn.XLOOKUP(PassiveEffect[[#This Row],[id]],PassiveProperty[passive_effect_id],PassiveProperty['#effect_memo],"__",0)</f>
        <v/>
      </c>
      <c r="D65" t="inlineStr">
        <is>
          <t>RunExecute</t>
        </is>
      </c>
      <c r="E65" t="n">
        <v>4005003</v>
      </c>
      <c r="F65" t="n">
        <v>-1</v>
      </c>
      <c r="G65" t="n">
        <v>-1</v>
      </c>
      <c r="H65" t="n">
        <v>-1</v>
      </c>
      <c r="I65" t="n">
        <v>-1</v>
      </c>
    </row>
    <row r="66" customFormat="1" s="58">
      <c r="A66" s="58" t="n">
        <v>4006001</v>
      </c>
      <c r="B66" s="59">
        <f>_xlfn.XLOOKUP(PassiveEffect[[#This Row],[id]],PassiveProperty[passive_effect_id],PassiveProperty['#effect_group],"__",0)</f>
        <v/>
      </c>
      <c r="C66" s="58">
        <f>_xlfn.XLOOKUP(PassiveEffect[[#This Row],[id]],PassiveProperty[passive_effect_id],PassiveProperty['#effect_memo],"__",0)</f>
        <v/>
      </c>
      <c r="D66" t="inlineStr">
        <is>
          <t>RunExecute</t>
        </is>
      </c>
      <c r="E66" s="58" t="n">
        <v>4006001</v>
      </c>
      <c r="F66" s="58" t="n">
        <v>-1</v>
      </c>
      <c r="G66" s="58" t="n">
        <v>-1</v>
      </c>
      <c r="H66" s="58" t="n">
        <v>-1</v>
      </c>
      <c r="I66" s="58" t="n">
        <v>-1</v>
      </c>
    </row>
    <row r="67">
      <c r="A67" t="n">
        <v>51001011</v>
      </c>
      <c r="B67" s="24">
        <f>_xlfn.XLOOKUP(PassiveEffect[[#This Row],[id]],PassiveProperty[passive_effect_id],PassiveProperty['#effect_group],"__",0)</f>
        <v/>
      </c>
      <c r="C67">
        <f>_xlfn.XLOOKUP(PassiveEffect[[#This Row],[id]],PassiveProperty[passive_effect_id],PassiveProperty['#effect_memo],"__",0)</f>
        <v/>
      </c>
      <c r="D67" t="inlineStr">
        <is>
          <t>SwapExecuteValue</t>
        </is>
      </c>
      <c r="E67" t="n">
        <v>1001211</v>
      </c>
      <c r="F67" t="n">
        <v>51001011</v>
      </c>
      <c r="G67" t="n">
        <v>10012112</v>
      </c>
      <c r="H67" t="n">
        <v>-1</v>
      </c>
      <c r="I67" t="n">
        <v>-1</v>
      </c>
    </row>
    <row r="68">
      <c r="A68" t="n">
        <v>51001012</v>
      </c>
      <c r="B68" s="24">
        <f>_xlfn.XLOOKUP(PassiveEffect[[#This Row],[id]],PassiveProperty[passive_effect_id],PassiveProperty['#effect_group],"__",0)</f>
        <v/>
      </c>
      <c r="C68">
        <f>_xlfn.XLOOKUP(PassiveEffect[[#This Row],[id]],PassiveProperty[passive_effect_id],PassiveProperty['#effect_memo],"__",0)</f>
        <v/>
      </c>
      <c r="D68" t="inlineStr">
        <is>
          <t>GetStatusEffect</t>
        </is>
      </c>
      <c r="E68" t="n">
        <v>51001012</v>
      </c>
      <c r="F68" t="n">
        <v>0</v>
      </c>
      <c r="G68" t="n">
        <v>-1</v>
      </c>
      <c r="H68" t="n">
        <v>-1</v>
      </c>
      <c r="I68" t="n">
        <v>-1</v>
      </c>
    </row>
    <row r="69">
      <c r="A69" t="n">
        <v>51001021</v>
      </c>
      <c r="B69" s="24">
        <f>_xlfn.XLOOKUP(PassiveEffect[[#This Row],[id]],PassiveProperty[passive_effect_id],PassiveProperty['#effect_group],"__",0)</f>
        <v/>
      </c>
      <c r="C69">
        <f>_xlfn.XLOOKUP(PassiveEffect[[#This Row],[id]],PassiveProperty[passive_effect_id],PassiveProperty['#effect_memo],"__",0)</f>
        <v/>
      </c>
      <c r="D69" t="inlineStr">
        <is>
          <t>RunExecute</t>
        </is>
      </c>
      <c r="E69" t="n">
        <v>51001021</v>
      </c>
      <c r="F69" t="n">
        <v>-1</v>
      </c>
      <c r="G69" t="n">
        <v>-1</v>
      </c>
      <c r="H69" t="n">
        <v>-1</v>
      </c>
      <c r="I69" t="n">
        <v>-1</v>
      </c>
    </row>
    <row r="70">
      <c r="A70" t="n">
        <v>51001031</v>
      </c>
      <c r="B70" s="24">
        <f>_xlfn.XLOOKUP(PassiveEffect[[#This Row],[id]],PassiveProperty[passive_effect_id],PassiveProperty['#effect_group],"__",0)</f>
        <v/>
      </c>
      <c r="C70">
        <f>_xlfn.XLOOKUP(PassiveEffect[[#This Row],[id]],PassiveProperty[passive_effect_id],PassiveProperty['#effect_memo],"__",0)</f>
        <v/>
      </c>
      <c r="D70" t="inlineStr">
        <is>
          <t>ModRateMaxInnateShield</t>
        </is>
      </c>
      <c r="E70" t="n">
        <v>3</v>
      </c>
      <c r="F70" t="n">
        <v>2000</v>
      </c>
      <c r="G70" t="n">
        <v>-1</v>
      </c>
      <c r="H70" t="n">
        <v>-1</v>
      </c>
      <c r="I70" t="n">
        <v>-1</v>
      </c>
    </row>
    <row r="71">
      <c r="A71" t="n">
        <v>51001032</v>
      </c>
      <c r="B71" s="24">
        <f>_xlfn.XLOOKUP(PassiveEffect[[#This Row],[id]],PassiveProperty[passive_effect_id],PassiveProperty['#effect_group],"__",0)</f>
        <v/>
      </c>
      <c r="C71">
        <f>_xlfn.XLOOKUP(PassiveEffect[[#This Row],[id]],PassiveProperty[passive_effect_id],PassiveProperty['#effect_memo],"__",0)</f>
        <v/>
      </c>
      <c r="D71" t="inlineStr">
        <is>
          <t>GetStatusEffect</t>
        </is>
      </c>
      <c r="E71" t="n">
        <v>51001032</v>
      </c>
      <c r="F71" t="n">
        <v>0</v>
      </c>
      <c r="G71" t="n">
        <v>-1</v>
      </c>
      <c r="H71" t="n">
        <v>-1</v>
      </c>
      <c r="I71" t="n">
        <v>-1</v>
      </c>
    </row>
    <row r="72">
      <c r="A72" t="n">
        <v>51001041</v>
      </c>
      <c r="B72" s="24">
        <f>_xlfn.XLOOKUP(PassiveEffect[[#This Row],[id]],PassiveProperty[passive_effect_id],PassiveProperty['#effect_group],"__",0)</f>
        <v/>
      </c>
      <c r="C72">
        <f>_xlfn.XLOOKUP(PassiveEffect[[#This Row],[id]],PassiveProperty[passive_effect_id],PassiveProperty['#effect_memo],"__",0)</f>
        <v/>
      </c>
      <c r="D72" t="inlineStr">
        <is>
          <t>GetStatusEffect</t>
        </is>
      </c>
      <c r="E72" t="n">
        <v>51001041</v>
      </c>
      <c r="F72" t="n">
        <v>-1</v>
      </c>
      <c r="G72" t="n">
        <v>-1</v>
      </c>
      <c r="H72" t="n">
        <v>-1</v>
      </c>
      <c r="I72" t="n">
        <v>-1</v>
      </c>
    </row>
    <row r="73">
      <c r="A73" t="n">
        <v>51001042</v>
      </c>
      <c r="B73" s="24">
        <f>_xlfn.XLOOKUP(PassiveEffect[[#This Row],[id]],PassiveProperty[passive_effect_id],PassiveProperty['#effect_group],"__",0)</f>
        <v/>
      </c>
      <c r="C73">
        <f>_xlfn.XLOOKUP(PassiveEffect[[#This Row],[id]],PassiveProperty[passive_effect_id],PassiveProperty['#effect_memo],"__",0)</f>
        <v/>
      </c>
      <c r="D73" t="inlineStr">
        <is>
          <t>GetStatusEffect</t>
        </is>
      </c>
      <c r="E73" t="n">
        <v>51001042</v>
      </c>
      <c r="F73" t="n">
        <v>-1</v>
      </c>
      <c r="G73" t="n">
        <v>-1</v>
      </c>
      <c r="H73" t="n">
        <v>-1</v>
      </c>
      <c r="I73" t="n">
        <v>-1</v>
      </c>
    </row>
    <row r="74">
      <c r="A74" t="n">
        <v>51001051</v>
      </c>
      <c r="B74" s="24">
        <f>_xlfn.XLOOKUP(PassiveEffect[[#This Row],[id]],PassiveProperty[passive_effect_id],PassiveProperty['#effect_group],"__",0)</f>
        <v/>
      </c>
      <c r="C74">
        <f>_xlfn.XLOOKUP(PassiveEffect[[#This Row],[id]],PassiveProperty[passive_effect_id],PassiveProperty['#effect_memo],"__",0)</f>
        <v/>
      </c>
      <c r="D74" t="inlineStr">
        <is>
          <t>GetMark</t>
        </is>
      </c>
      <c r="E74" t="n">
        <v>51001051</v>
      </c>
      <c r="F74" t="n">
        <v>-1</v>
      </c>
      <c r="G74" t="n">
        <v>-1</v>
      </c>
      <c r="H74" t="n">
        <v>-1</v>
      </c>
      <c r="I74" t="n">
        <v>-1</v>
      </c>
    </row>
    <row r="75">
      <c r="A75" t="n">
        <v>51001061</v>
      </c>
      <c r="B75" s="24">
        <f>_xlfn.XLOOKUP(PassiveEffect[[#This Row],[id]],PassiveProperty[passive_effect_id],PassiveProperty['#effect_group],"__",0)</f>
        <v/>
      </c>
      <c r="C75">
        <f>_xlfn.XLOOKUP(PassiveEffect[[#This Row],[id]],PassiveProperty[passive_effect_id],PassiveProperty['#effect_memo],"__",0)</f>
        <v/>
      </c>
      <c r="D75" t="inlineStr">
        <is>
          <t>GetStatusEffect</t>
        </is>
      </c>
      <c r="E75" t="n">
        <v>51001061</v>
      </c>
      <c r="F75" t="n">
        <v>6000</v>
      </c>
      <c r="G75" t="n">
        <v>-1</v>
      </c>
      <c r="H75" t="n">
        <v>-1</v>
      </c>
      <c r="I75" t="n">
        <v>-1</v>
      </c>
    </row>
    <row r="76">
      <c r="A76" t="n">
        <v>52001011</v>
      </c>
      <c r="B76" s="24">
        <f>_xlfn.XLOOKUP(PassiveEffect[[#This Row],[id]],PassiveProperty[passive_effect_id],PassiveProperty['#effect_group],"__",0)</f>
        <v/>
      </c>
      <c r="C76">
        <f>_xlfn.XLOOKUP(PassiveEffect[[#This Row],[id]],PassiveProperty[passive_effect_id],PassiveProperty['#effect_memo],"__",0)</f>
        <v/>
      </c>
      <c r="D76" t="inlineStr">
        <is>
          <t>ModRateWeaponDamage</t>
        </is>
      </c>
      <c r="E76" t="n">
        <v>-1</v>
      </c>
      <c r="F76" t="n">
        <v>1500</v>
      </c>
      <c r="G76" t="n">
        <v>-1</v>
      </c>
      <c r="H76" t="n">
        <v>-1</v>
      </c>
      <c r="I76" t="n">
        <v>-1</v>
      </c>
    </row>
    <row r="77">
      <c r="A77" t="n">
        <v>52001021</v>
      </c>
      <c r="B77" s="24">
        <f>_xlfn.XLOOKUP(PassiveEffect[[#This Row],[id]],PassiveProperty[passive_effect_id],PassiveProperty['#effect_group],"__",0)</f>
        <v/>
      </c>
      <c r="C77">
        <f>_xlfn.XLOOKUP(PassiveEffect[[#This Row],[id]],PassiveProperty[passive_effect_id],PassiveProperty['#effect_memo],"__",0)</f>
        <v/>
      </c>
      <c r="D77" t="inlineStr">
        <is>
          <t>SwapExecuteValue</t>
        </is>
      </c>
      <c r="E77" t="n">
        <v>2001101</v>
      </c>
      <c r="F77" t="n">
        <v>20011011</v>
      </c>
      <c r="G77" t="n">
        <v>52001021</v>
      </c>
      <c r="H77" t="n">
        <v>-1</v>
      </c>
      <c r="I77" t="n">
        <v>-1</v>
      </c>
    </row>
    <row r="78">
      <c r="A78" t="n">
        <v>52001031</v>
      </c>
      <c r="B78" s="24">
        <f>_xlfn.XLOOKUP(PassiveEffect[[#This Row],[id]],PassiveProperty[passive_effect_id],PassiveProperty['#effect_group],"__",0)</f>
        <v/>
      </c>
      <c r="C78">
        <f>_xlfn.XLOOKUP(PassiveEffect[[#This Row],[id]],PassiveProperty[passive_effect_id],PassiveProperty['#effect_memo],"__",0)</f>
        <v/>
      </c>
      <c r="D78" t="inlineStr">
        <is>
          <t>GetMark</t>
        </is>
      </c>
      <c r="E78" t="n">
        <v>52001031</v>
      </c>
      <c r="F78" t="n">
        <v>-1</v>
      </c>
      <c r="G78" t="n">
        <v>-1</v>
      </c>
      <c r="H78" t="n">
        <v>-1</v>
      </c>
      <c r="I78" t="n">
        <v>-1</v>
      </c>
    </row>
    <row r="79">
      <c r="A79" t="n">
        <v>52001041</v>
      </c>
      <c r="B79" s="24">
        <f>_xlfn.XLOOKUP(PassiveEffect[[#This Row],[id]],PassiveProperty[passive_effect_id],PassiveProperty['#effect_group],"__",0)</f>
        <v/>
      </c>
      <c r="C79">
        <f>_xlfn.XLOOKUP(PassiveEffect[[#This Row],[id]],PassiveProperty[passive_effect_id],PassiveProperty['#effect_memo],"__",0)</f>
        <v/>
      </c>
      <c r="D79" t="inlineStr">
        <is>
          <t>ModConsecutiveFireMaxDamageRate</t>
        </is>
      </c>
      <c r="E79" t="n">
        <v>-1</v>
      </c>
      <c r="F79" t="n">
        <v>3000</v>
      </c>
      <c r="G79" t="n">
        <v>-1</v>
      </c>
      <c r="H79" t="n">
        <v>-1</v>
      </c>
      <c r="I79" t="n">
        <v>-1</v>
      </c>
    </row>
    <row r="80">
      <c r="A80" t="n">
        <v>52001051</v>
      </c>
      <c r="B80" s="24">
        <f>_xlfn.XLOOKUP(PassiveEffect[[#This Row],[id]],PassiveProperty[passive_effect_id],PassiveProperty['#effect_group],"__",0)</f>
        <v/>
      </c>
      <c r="C80">
        <f>_xlfn.XLOOKUP(PassiveEffect[[#This Row],[id]],PassiveProperty[passive_effect_id],PassiveProperty['#effect_memo],"__",0)</f>
        <v/>
      </c>
      <c r="D80" t="inlineStr">
        <is>
          <t>ModBulletDamageRateByHeight</t>
        </is>
      </c>
      <c r="E80" t="n">
        <v>-1</v>
      </c>
      <c r="F80" t="n">
        <v>2000</v>
      </c>
      <c r="G80" t="n">
        <v>150</v>
      </c>
      <c r="H80" t="n">
        <v>-1</v>
      </c>
      <c r="I80" t="n">
        <v>-1</v>
      </c>
    </row>
    <row r="81">
      <c r="A81" t="n">
        <v>52001061</v>
      </c>
      <c r="B81" s="24">
        <f>_xlfn.XLOOKUP(PassiveEffect[[#This Row],[id]],PassiveProperty[passive_effect_id],PassiveProperty['#effect_group],"__",0)</f>
        <v/>
      </c>
      <c r="C81">
        <f>_xlfn.XLOOKUP(PassiveEffect[[#This Row],[id]],PassiveProperty[passive_effect_id],PassiveProperty['#effect_memo],"__",0)</f>
        <v/>
      </c>
      <c r="D81" t="inlineStr">
        <is>
          <t>ModSkillCool</t>
        </is>
      </c>
      <c r="E81" t="n">
        <v>200120</v>
      </c>
      <c r="F81" t="n">
        <v>-3000</v>
      </c>
      <c r="G81" t="n">
        <v>-1</v>
      </c>
      <c r="H81" t="n">
        <v>-1</v>
      </c>
      <c r="I81" t="n">
        <v>-1</v>
      </c>
    </row>
    <row r="82">
      <c r="A82" t="n">
        <v>52001062</v>
      </c>
      <c r="B82" s="24">
        <f>_xlfn.XLOOKUP(PassiveEffect[[#This Row],[id]],PassiveProperty[passive_effect_id],PassiveProperty['#effect_group],"__",0)</f>
        <v/>
      </c>
      <c r="C82">
        <f>_xlfn.XLOOKUP(PassiveEffect[[#This Row],[id]],PassiveProperty[passive_effect_id],PassiveProperty['#effect_memo],"__",0)</f>
        <v/>
      </c>
      <c r="D82" t="inlineStr">
        <is>
          <t>SwapExecuteValue</t>
        </is>
      </c>
      <c r="E82" t="n">
        <v>2001201</v>
      </c>
      <c r="F82" t="n">
        <v>20012011</v>
      </c>
      <c r="G82" t="n">
        <v>52001062</v>
      </c>
      <c r="H82" t="n">
        <v>-1</v>
      </c>
      <c r="I82" t="n">
        <v>-1</v>
      </c>
    </row>
    <row r="83">
      <c r="A83" t="n">
        <v>53001011</v>
      </c>
      <c r="B83" s="24">
        <f>_xlfn.XLOOKUP(PassiveEffect[[#This Row],[id]],PassiveProperty[passive_effect_id],PassiveProperty['#effect_group],"__",0)</f>
        <v/>
      </c>
      <c r="C83">
        <f>_xlfn.XLOOKUP(PassiveEffect[[#This Row],[id]],PassiveProperty[passive_effect_id],PassiveProperty['#effect_memo],"__",0)</f>
        <v/>
      </c>
      <c r="D83" t="inlineStr">
        <is>
          <t>DamageNoShieldModifier</t>
        </is>
      </c>
      <c r="E83" t="n">
        <v>-1</v>
      </c>
      <c r="F83" t="n">
        <v>3000</v>
      </c>
      <c r="G83" t="n">
        <v>-1</v>
      </c>
      <c r="H83" t="n">
        <v>-1</v>
      </c>
      <c r="I83" t="n">
        <v>-1</v>
      </c>
    </row>
    <row r="84">
      <c r="A84" t="n">
        <v>53001021</v>
      </c>
      <c r="B84" s="24">
        <f>_xlfn.XLOOKUP(PassiveEffect[[#This Row],[id]],PassiveProperty[passive_effect_id],PassiveProperty['#effect_group],"__",0)</f>
        <v/>
      </c>
      <c r="C84">
        <f>_xlfn.XLOOKUP(PassiveEffect[[#This Row],[id]],PassiveProperty[passive_effect_id],PassiveProperty['#effect_memo],"__",0)</f>
        <v/>
      </c>
      <c r="D84" t="inlineStr">
        <is>
          <t>SwapExecuteValue</t>
        </is>
      </c>
      <c r="E84" t="n">
        <v>3001201</v>
      </c>
      <c r="F84" t="n">
        <v>30012011</v>
      </c>
      <c r="G84" t="n">
        <v>30012012</v>
      </c>
      <c r="H84" t="n">
        <v>53001021</v>
      </c>
      <c r="I84" t="n">
        <v>-1</v>
      </c>
    </row>
    <row r="85">
      <c r="A85" t="n">
        <v>53001031</v>
      </c>
      <c r="B85" s="24">
        <f>_xlfn.XLOOKUP(PassiveEffect[[#This Row],[id]],PassiveProperty[passive_effect_id],PassiveProperty['#effect_group],"__",0)</f>
        <v/>
      </c>
      <c r="C85">
        <f>_xlfn.XLOOKUP(PassiveEffect[[#This Row],[id]],PassiveProperty[passive_effect_id],PassiveProperty['#effect_memo],"__",0)</f>
        <v/>
      </c>
      <c r="D85" t="inlineStr">
        <is>
          <t>GetStatusEffectConditionSource</t>
        </is>
      </c>
      <c r="E85" t="n">
        <v>30</v>
      </c>
      <c r="F85" t="n">
        <v>12000</v>
      </c>
      <c r="G85" t="n">
        <v>-1</v>
      </c>
      <c r="H85" t="n">
        <v>-1</v>
      </c>
      <c r="I85" t="n">
        <v>-1</v>
      </c>
    </row>
    <row r="86">
      <c r="A86" t="n">
        <v>53001041</v>
      </c>
      <c r="B86" s="24">
        <f>_xlfn.XLOOKUP(PassiveEffect[[#This Row],[id]],PassiveProperty[passive_effect_id],PassiveProperty['#effect_group],"__",0)</f>
        <v/>
      </c>
      <c r="C86">
        <f>_xlfn.XLOOKUP(PassiveEffect[[#This Row],[id]],PassiveProperty[passive_effect_id],PassiveProperty['#effect_memo],"__",0)</f>
        <v/>
      </c>
      <c r="D86" t="inlineStr">
        <is>
          <t>SwapCasterResultExecuteEffect</t>
        </is>
      </c>
      <c r="E86" t="n">
        <v>3001111</v>
      </c>
      <c r="F86" t="n">
        <v>53001041</v>
      </c>
      <c r="G86" t="n">
        <v>-1</v>
      </c>
      <c r="H86" t="n">
        <v>-1</v>
      </c>
      <c r="I86" t="n">
        <v>-1</v>
      </c>
    </row>
    <row r="87">
      <c r="A87" t="n">
        <v>53001051</v>
      </c>
      <c r="B87" s="24">
        <f>_xlfn.XLOOKUP(PassiveEffect[[#This Row],[id]],PassiveProperty[passive_effect_id],PassiveProperty['#effect_group],"__",0)</f>
        <v/>
      </c>
      <c r="C87">
        <f>_xlfn.XLOOKUP(PassiveEffect[[#This Row],[id]],PassiveProperty[passive_effect_id],PassiveProperty['#effect_memo],"__",0)</f>
        <v/>
      </c>
      <c r="D87" t="inlineStr">
        <is>
          <t>ModRateMoveSpeed</t>
        </is>
      </c>
      <c r="E87" t="n">
        <v>-1</v>
      </c>
      <c r="F87" t="n">
        <v>1200</v>
      </c>
      <c r="G87" t="n">
        <v>-1</v>
      </c>
      <c r="H87" t="n">
        <v>-1</v>
      </c>
      <c r="I87" t="n">
        <v>-1</v>
      </c>
    </row>
    <row r="88">
      <c r="A88" t="n">
        <v>53001052</v>
      </c>
      <c r="B88" s="24">
        <f>_xlfn.XLOOKUP(PassiveEffect[[#This Row],[id]],PassiveProperty[passive_effect_id],PassiveProperty['#effect_group],"__",0)</f>
        <v/>
      </c>
      <c r="C88">
        <f>_xlfn.XLOOKUP(PassiveEffect[[#This Row],[id]],PassiveProperty[passive_effect_id],PassiveProperty['#effect_memo],"__",0)</f>
        <v/>
      </c>
      <c r="D88" t="inlineStr">
        <is>
          <t>SwapStatusEffectValue</t>
        </is>
      </c>
      <c r="E88" t="n">
        <v>30011011</v>
      </c>
      <c r="F88" t="n">
        <v>300110111</v>
      </c>
      <c r="G88" t="n">
        <v>530010521</v>
      </c>
      <c r="H88" t="n">
        <v>-1</v>
      </c>
      <c r="I88" t="n">
        <v>-1</v>
      </c>
    </row>
    <row r="89">
      <c r="A89" t="n">
        <v>53001061</v>
      </c>
      <c r="B89" s="24">
        <f>_xlfn.XLOOKUP(PassiveEffect[[#This Row],[id]],PassiveProperty[passive_effect_id],PassiveProperty['#effect_group],"__",0)</f>
        <v/>
      </c>
      <c r="C89">
        <f>_xlfn.XLOOKUP(PassiveEffect[[#This Row],[id]],PassiveProperty[passive_effect_id],PassiveProperty['#effect_memo],"__",0)</f>
        <v/>
      </c>
      <c r="D89" t="inlineStr">
        <is>
          <t>ModDamageNoShieldModifier</t>
        </is>
      </c>
      <c r="E89" t="n">
        <v>-1</v>
      </c>
      <c r="F89" t="n">
        <v>2500</v>
      </c>
      <c r="G89" t="n">
        <v>-1</v>
      </c>
      <c r="H89" t="n">
        <v>-1</v>
      </c>
      <c r="I89" t="n">
        <v>-1</v>
      </c>
    </row>
    <row r="90">
      <c r="A90" t="n">
        <v>54001011</v>
      </c>
      <c r="B90" s="24">
        <f>_xlfn.XLOOKUP(PassiveEffect[[#This Row],[id]],PassiveProperty[passive_effect_id],PassiveProperty['#effect_group],"__",0)</f>
        <v/>
      </c>
      <c r="C90">
        <f>_xlfn.XLOOKUP(PassiveEffect[[#This Row],[id]],PassiveProperty[passive_effect_id],PassiveProperty['#effect_memo],"__",0)</f>
        <v/>
      </c>
      <c r="D90" t="inlineStr">
        <is>
          <t>SwapExecuteValue</t>
        </is>
      </c>
      <c r="E90" t="n">
        <v>4001103</v>
      </c>
      <c r="F90" t="n">
        <v>40011031</v>
      </c>
      <c r="G90" t="n">
        <v>40011032</v>
      </c>
      <c r="H90" t="n">
        <v>54001011</v>
      </c>
      <c r="I90" t="n">
        <v>-1</v>
      </c>
    </row>
    <row r="91">
      <c r="A91" t="n">
        <v>54001021</v>
      </c>
      <c r="B91" s="24">
        <f>_xlfn.XLOOKUP(PassiveEffect[[#This Row],[id]],PassiveProperty[passive_effect_id],PassiveProperty['#effect_group],"__",0)</f>
        <v/>
      </c>
      <c r="C91">
        <f>_xlfn.XLOOKUP(PassiveEffect[[#This Row],[id]],PassiveProperty[passive_effect_id],PassiveProperty['#effect_memo],"__",0)</f>
        <v/>
      </c>
      <c r="D91" t="inlineStr">
        <is>
          <t>SwapExecuteValue</t>
        </is>
      </c>
      <c r="E91" t="n">
        <v>4001102</v>
      </c>
      <c r="F91" t="n">
        <v>40011021</v>
      </c>
      <c r="G91" t="n">
        <v>40011022</v>
      </c>
      <c r="H91" t="n">
        <v>54001021</v>
      </c>
      <c r="I91" t="n">
        <v>-1</v>
      </c>
    </row>
    <row r="92">
      <c r="A92" t="n">
        <v>54001031</v>
      </c>
      <c r="B92" s="24">
        <f>_xlfn.XLOOKUP(PassiveEffect[[#This Row],[id]],PassiveProperty[passive_effect_id],PassiveProperty['#effect_group],"__",0)</f>
        <v/>
      </c>
      <c r="C92">
        <f>_xlfn.XLOOKUP(PassiveEffect[[#This Row],[id]],PassiveProperty[passive_effect_id],PassiveProperty['#effect_memo],"__",0)</f>
        <v/>
      </c>
      <c r="D92" t="inlineStr">
        <is>
          <t>SwapExecuteValue</t>
        </is>
      </c>
      <c r="E92" t="n">
        <v>4001202</v>
      </c>
      <c r="F92" t="n">
        <v>54001031</v>
      </c>
      <c r="G92" t="n">
        <v>-1</v>
      </c>
      <c r="H92" t="n">
        <v>-1</v>
      </c>
      <c r="I92" t="n">
        <v>-1</v>
      </c>
    </row>
    <row r="93">
      <c r="A93" t="n">
        <v>54001041</v>
      </c>
      <c r="B93" s="24">
        <f>_xlfn.XLOOKUP(PassiveEffect[[#This Row],[id]],PassiveProperty[passive_effect_id],PassiveProperty['#effect_group],"__",0)</f>
        <v/>
      </c>
      <c r="C93">
        <f>_xlfn.XLOOKUP(PassiveEffect[[#This Row],[id]],PassiveProperty[passive_effect_id],PassiveProperty['#effect_memo],"__",0)</f>
        <v/>
      </c>
      <c r="D93" t="inlineStr">
        <is>
          <t>RunExecute</t>
        </is>
      </c>
      <c r="E93" t="n">
        <v>54001041</v>
      </c>
      <c r="F93" t="n">
        <v>-1</v>
      </c>
      <c r="G93" t="n">
        <v>-1</v>
      </c>
      <c r="H93" t="n">
        <v>-1</v>
      </c>
      <c r="I93" t="n">
        <v>-1</v>
      </c>
    </row>
    <row r="94">
      <c r="A94" t="n">
        <v>54001051</v>
      </c>
      <c r="B94" s="24">
        <f>_xlfn.XLOOKUP(PassiveEffect[[#This Row],[id]],PassiveProperty[passive_effect_id],PassiveProperty['#effect_group],"__",0)</f>
        <v/>
      </c>
      <c r="C94">
        <f>_xlfn.XLOOKUP(PassiveEffect[[#This Row],[id]],PassiveProperty[passive_effect_id],PassiveProperty['#effect_memo],"__",0)</f>
        <v/>
      </c>
      <c r="D94" t="inlineStr">
        <is>
          <t>ModRateMoveSpeed</t>
        </is>
      </c>
      <c r="E94" t="n">
        <v>-1</v>
      </c>
      <c r="F94" t="n">
        <v>1800</v>
      </c>
      <c r="G94" t="n">
        <v>-1</v>
      </c>
      <c r="H94" t="n">
        <v>-1</v>
      </c>
      <c r="I94" t="n">
        <v>-1</v>
      </c>
    </row>
    <row r="95">
      <c r="A95" t="n">
        <v>54001052</v>
      </c>
      <c r="B95" s="24">
        <f>_xlfn.XLOOKUP(PassiveEffect[[#This Row],[id]],PassiveProperty[passive_effect_id],PassiveProperty['#effect_group],"__",0)</f>
        <v/>
      </c>
      <c r="C95">
        <f>_xlfn.XLOOKUP(PassiveEffect[[#This Row],[id]],PassiveProperty[passive_effect_id],PassiveProperty['#effect_memo],"__",0)</f>
        <v/>
      </c>
      <c r="D95" t="inlineStr">
        <is>
          <t>RunExecute</t>
        </is>
      </c>
      <c r="E95" t="n">
        <v>54001052</v>
      </c>
      <c r="F95" t="n">
        <v>-1</v>
      </c>
      <c r="G95" t="n">
        <v>-1</v>
      </c>
      <c r="H95" t="n">
        <v>-1</v>
      </c>
      <c r="I95" t="n">
        <v>-1</v>
      </c>
    </row>
    <row r="96">
      <c r="A96" t="n">
        <v>54001061</v>
      </c>
      <c r="B96" s="24">
        <f>_xlfn.XLOOKUP(PassiveEffect[[#This Row],[id]],PassiveProperty[passive_effect_id],PassiveProperty['#effect_group],"__",0)</f>
        <v/>
      </c>
      <c r="C96">
        <f>_xlfn.XLOOKUP(PassiveEffect[[#This Row],[id]],PassiveProperty[passive_effect_id],PassiveProperty['#effect_memo],"__",0)</f>
        <v/>
      </c>
      <c r="D96" t="inlineStr">
        <is>
          <t>ModWeaponEffectiveRange</t>
        </is>
      </c>
      <c r="E96" t="n">
        <v>240013</v>
      </c>
      <c r="F96" t="n">
        <v>-1</v>
      </c>
      <c r="G96" t="n">
        <v>3000</v>
      </c>
      <c r="H96" t="n">
        <v>-1</v>
      </c>
      <c r="I96" t="n">
        <v>-1</v>
      </c>
    </row>
    <row r="97">
      <c r="A97" t="n">
        <v>54001062</v>
      </c>
      <c r="B97" s="24">
        <f>_xlfn.XLOOKUP(PassiveEffect[[#This Row],[id]],PassiveProperty[passive_effect_id],PassiveProperty['#effect_group],"__",0)</f>
        <v/>
      </c>
      <c r="C97">
        <f>_xlfn.XLOOKUP(PassiveEffect[[#This Row],[id]],PassiveProperty[passive_effect_id],PassiveProperty['#effect_memo],"__",0)</f>
        <v/>
      </c>
      <c r="D97" t="inlineStr">
        <is>
          <t>SwapExecuteValue</t>
        </is>
      </c>
      <c r="E97" t="n">
        <v>240013</v>
      </c>
      <c r="F97" t="n">
        <v>2400131</v>
      </c>
      <c r="G97" s="62" t="n">
        <v>54001062</v>
      </c>
      <c r="H97" t="n">
        <v>-1</v>
      </c>
      <c r="I97" t="n">
        <v>-1</v>
      </c>
    </row>
    <row r="98">
      <c r="A98" t="n">
        <v>60101011</v>
      </c>
      <c r="B98" s="24">
        <f>_xlfn.XLOOKUP(PassiveEffect[[#This Row],[id]],PassiveProperty[passive_effect_id],PassiveProperty['#effect_group],"__",0)</f>
        <v/>
      </c>
      <c r="C98">
        <f>_xlfn.XLOOKUP(PassiveEffect[[#This Row],[id]],PassiveProperty[passive_effect_id],PassiveProperty['#effect_memo],"__",0)</f>
        <v/>
      </c>
      <c r="D98" t="inlineStr">
        <is>
          <t>GetStatusEffect</t>
        </is>
      </c>
      <c r="E98" t="n">
        <v>60101011</v>
      </c>
      <c r="F98" t="n">
        <v>20000</v>
      </c>
      <c r="G98" t="n">
        <v>-1</v>
      </c>
      <c r="H98" t="n">
        <v>-1</v>
      </c>
      <c r="I98" t="n">
        <v>-1</v>
      </c>
    </row>
    <row r="99">
      <c r="A99" t="n">
        <v>60101021</v>
      </c>
      <c r="B99" s="24">
        <f>_xlfn.XLOOKUP(PassiveEffect[[#This Row],[id]],PassiveProperty[passive_effect_id],PassiveProperty['#effect_group],"__",0)</f>
        <v/>
      </c>
      <c r="C99">
        <f>_xlfn.XLOOKUP(PassiveEffect[[#This Row],[id]],PassiveProperty[passive_effect_id],PassiveProperty['#effect_memo],"__",0)</f>
        <v/>
      </c>
      <c r="D99" t="inlineStr">
        <is>
          <t>GetStatusEffect</t>
        </is>
      </c>
      <c r="E99" t="n">
        <v>60101021</v>
      </c>
      <c r="F99" t="n">
        <v>0</v>
      </c>
      <c r="G99" t="n">
        <v>-1</v>
      </c>
      <c r="H99" t="n">
        <v>-1</v>
      </c>
      <c r="I99" t="n">
        <v>-1</v>
      </c>
    </row>
    <row r="100">
      <c r="A100" t="n">
        <v>60101022</v>
      </c>
      <c r="B100" s="24">
        <f>_xlfn.XLOOKUP(PassiveEffect[[#This Row],[id]],PassiveProperty[passive_effect_id],PassiveProperty['#effect_group],"__",0)</f>
        <v/>
      </c>
      <c r="C100">
        <f>_xlfn.XLOOKUP(PassiveEffect[[#This Row],[id]],PassiveProperty[passive_effect_id],PassiveProperty['#effect_memo],"__",0)</f>
        <v/>
      </c>
      <c r="D100" t="inlineStr">
        <is>
          <t>GetStatusEffect</t>
        </is>
      </c>
      <c r="E100" t="n">
        <v>60101022</v>
      </c>
      <c r="F100" t="n">
        <v>35000</v>
      </c>
      <c r="G100" t="n">
        <v>-1</v>
      </c>
      <c r="H100" t="n">
        <v>-1</v>
      </c>
      <c r="I100" t="n">
        <v>-1</v>
      </c>
    </row>
    <row r="101">
      <c r="A101" t="n">
        <v>60101031</v>
      </c>
      <c r="B101" s="24">
        <f>_xlfn.XLOOKUP(PassiveEffect[[#This Row],[id]],PassiveProperty[passive_effect_id],PassiveProperty['#effect_group],"__",0)</f>
        <v/>
      </c>
      <c r="C101">
        <f>_xlfn.XLOOKUP(PassiveEffect[[#This Row],[id]],PassiveProperty[passive_effect_id],PassiveProperty['#effect_memo],"__",0)</f>
        <v/>
      </c>
      <c r="D101" t="inlineStr">
        <is>
          <t>ModSkillCooldownHaste</t>
        </is>
      </c>
      <c r="E101" t="n">
        <v>-3000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n">
        <v>60101032</v>
      </c>
      <c r="B102" s="24">
        <f>_xlfn.XLOOKUP(PassiveEffect[[#This Row],[id]],PassiveProperty[passive_effect_id],PassiveProperty['#effect_group],"__",0)</f>
        <v/>
      </c>
      <c r="C102">
        <f>_xlfn.XLOOKUP(PassiveEffect[[#This Row],[id]],PassiveProperty[passive_effect_id],PassiveProperty['#effect_memo],"__",0)</f>
        <v/>
      </c>
      <c r="D102" t="inlineStr">
        <is>
          <t>ModSkillDamageRate</t>
        </is>
      </c>
      <c r="E102" t="n">
        <v>2000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n">
        <v>60101041</v>
      </c>
      <c r="B103" s="24">
        <f>_xlfn.XLOOKUP(PassiveEffect[[#This Row],[id]],PassiveProperty[passive_effect_id],PassiveProperty['#effect_group],"__",0)</f>
        <v/>
      </c>
      <c r="C103">
        <f>_xlfn.XLOOKUP(PassiveEffect[[#This Row],[id]],PassiveProperty[passive_effect_id],PassiveProperty['#effect_memo],"__",0)</f>
        <v/>
      </c>
      <c r="D103" t="inlineStr">
        <is>
          <t>ModDamageReductionRate</t>
        </is>
      </c>
      <c r="E103" t="n">
        <v>-1</v>
      </c>
      <c r="F103" t="n">
        <v>5000</v>
      </c>
      <c r="G103" t="n">
        <v>-1</v>
      </c>
      <c r="H103" t="n">
        <v>-1</v>
      </c>
      <c r="I103" t="n">
        <v>-1</v>
      </c>
    </row>
    <row r="104">
      <c r="A104" t="n">
        <v>60101042</v>
      </c>
      <c r="B104" s="24">
        <f>_xlfn.XLOOKUP(PassiveEffect[[#This Row],[id]],PassiveProperty[passive_effect_id],PassiveProperty['#effect_group],"__",0)</f>
        <v/>
      </c>
      <c r="C104">
        <f>_xlfn.XLOOKUP(PassiveEffect[[#This Row],[id]],PassiveProperty[passive_effect_id],PassiveProperty['#effect_memo],"__",0)</f>
        <v/>
      </c>
      <c r="D104" s="56" t="inlineStr">
        <is>
          <t>ModRateInnateShieldRegen</t>
        </is>
      </c>
      <c r="E104" t="n">
        <v>-1</v>
      </c>
      <c r="F104" t="n">
        <v>10000</v>
      </c>
      <c r="G104" t="n">
        <v>-1</v>
      </c>
      <c r="H104" t="n">
        <v>-1</v>
      </c>
      <c r="I104" t="n">
        <v>-1</v>
      </c>
    </row>
    <row r="105">
      <c r="A105" t="n">
        <v>60101043</v>
      </c>
      <c r="B105" s="24">
        <f>_xlfn.XLOOKUP(PassiveEffect[[#This Row],[id]],PassiveProperty[passive_effect_id],PassiveProperty['#effect_group],"__",0)</f>
        <v/>
      </c>
      <c r="C105">
        <f>_xlfn.XLOOKUP(PassiveEffect[[#This Row],[id]],PassiveProperty[passive_effect_id],PassiveProperty['#effect_memo],"__",0)</f>
        <v/>
      </c>
      <c r="D105" t="inlineStr">
        <is>
          <t>ModMaxHealth</t>
        </is>
      </c>
      <c r="E105" t="n">
        <v>-1</v>
      </c>
      <c r="F105" t="n">
        <v>250</v>
      </c>
      <c r="G105" t="n">
        <v>-1</v>
      </c>
      <c r="H105" t="n">
        <v>-1</v>
      </c>
      <c r="I105" t="n">
        <v>-1</v>
      </c>
    </row>
    <row r="106">
      <c r="A106" t="n">
        <v>60101051</v>
      </c>
      <c r="B106" s="24">
        <f>_xlfn.XLOOKUP(PassiveEffect[[#This Row],[id]],PassiveProperty[passive_effect_id],PassiveProperty['#effect_group],"__",0)</f>
        <v/>
      </c>
      <c r="C106">
        <f>_xlfn.XLOOKUP(PassiveEffect[[#This Row],[id]],PassiveProperty[passive_effect_id],PassiveProperty['#effect_memo],"__",0)</f>
        <v/>
      </c>
      <c r="D106" t="inlineStr">
        <is>
          <t>ModDamageShieldModifier</t>
        </is>
      </c>
      <c r="E106" t="n">
        <v>-1</v>
      </c>
      <c r="F106" t="n">
        <v>8500</v>
      </c>
      <c r="G106" t="n">
        <v>-1</v>
      </c>
      <c r="H106" t="n">
        <v>-1</v>
      </c>
      <c r="I106" t="n">
        <v>-1</v>
      </c>
    </row>
    <row r="107">
      <c r="A107" t="n">
        <v>60101052</v>
      </c>
      <c r="B107" s="24">
        <f>_xlfn.XLOOKUP(PassiveEffect[[#This Row],[id]],PassiveProperty[passive_effect_id],PassiveProperty['#effect_group],"__",0)</f>
        <v/>
      </c>
      <c r="C107">
        <f>_xlfn.XLOOKUP(PassiveEffect[[#This Row],[id]],PassiveProperty[passive_effect_id],PassiveProperty['#effect_memo],"__",0)</f>
        <v/>
      </c>
      <c r="D107" t="inlineStr">
        <is>
          <t>ModRateMoa</t>
        </is>
      </c>
      <c r="E107" t="n">
        <v>-1</v>
      </c>
      <c r="F107" t="n">
        <v>-8500</v>
      </c>
      <c r="G107" t="n">
        <v>-1</v>
      </c>
      <c r="H107" t="n">
        <v>-1</v>
      </c>
      <c r="I107" t="n">
        <v>-1</v>
      </c>
    </row>
    <row r="108">
      <c r="A108" t="n">
        <v>60101053</v>
      </c>
      <c r="B108" s="24">
        <f>_xlfn.XLOOKUP(PassiveEffect[[#This Row],[id]],PassiveProperty[passive_effect_id],PassiveProperty['#effect_group],"__",0)</f>
        <v/>
      </c>
      <c r="C108">
        <f>_xlfn.XLOOKUP(PassiveEffect[[#This Row],[id]],PassiveProperty[passive_effect_id],PassiveProperty['#effect_memo],"__",0)</f>
        <v/>
      </c>
      <c r="D108" t="inlineStr">
        <is>
          <t>DamageFalloffFixed</t>
        </is>
      </c>
      <c r="E108" t="n">
        <v>-1</v>
      </c>
      <c r="F108" t="n">
        <v>10000</v>
      </c>
      <c r="G108" t="n">
        <v>-1</v>
      </c>
      <c r="H108" t="n">
        <v>-1</v>
      </c>
      <c r="I108" t="n">
        <v>-1</v>
      </c>
    </row>
    <row r="109">
      <c r="A109" t="n">
        <v>60101061</v>
      </c>
      <c r="B109" s="24">
        <f>_xlfn.XLOOKUP(PassiveEffect[[#This Row],[id]],PassiveProperty[passive_effect_id],PassiveProperty['#effect_group],"__",0)</f>
        <v/>
      </c>
      <c r="C109">
        <f>_xlfn.XLOOKUP(PassiveEffect[[#This Row],[id]],PassiveProperty[passive_effect_id],PassiveProperty['#effect_memo],"__",0)</f>
        <v/>
      </c>
      <c r="D109" t="inlineStr">
        <is>
          <t>RunExecute</t>
        </is>
      </c>
      <c r="E109" t="n">
        <v>6010106</v>
      </c>
      <c r="F109" t="n">
        <v>-1</v>
      </c>
      <c r="G109" t="n">
        <v>-1</v>
      </c>
      <c r="H109" t="n">
        <v>-1</v>
      </c>
      <c r="I109" t="n">
        <v>-1</v>
      </c>
    </row>
    <row r="110">
      <c r="A110" t="n">
        <v>60101071</v>
      </c>
      <c r="B110" s="24">
        <f>_xlfn.XLOOKUP(PassiveEffect[[#This Row],[id]],PassiveProperty[passive_effect_id],PassiveProperty['#effect_group],"__",0)</f>
        <v/>
      </c>
      <c r="C110">
        <f>_xlfn.XLOOKUP(PassiveEffect[[#This Row],[id]],PassiveProperty[passive_effect_id],PassiveProperty['#effect_memo],"__",0)</f>
        <v/>
      </c>
      <c r="D110" t="inlineStr">
        <is>
          <t>ModRateMoveSpeed</t>
        </is>
      </c>
      <c r="E110" t="n">
        <v>-1</v>
      </c>
      <c r="F110" t="n">
        <v>4000</v>
      </c>
      <c r="G110" t="n">
        <v>-1</v>
      </c>
      <c r="H110" t="n">
        <v>-1</v>
      </c>
      <c r="I110" t="n">
        <v>-1</v>
      </c>
    </row>
    <row r="111">
      <c r="A111" t="n">
        <v>60101072</v>
      </c>
      <c r="B111" s="24">
        <f>_xlfn.XLOOKUP(PassiveEffect[[#This Row],[id]],PassiveProperty[passive_effect_id],PassiveProperty['#effect_group],"__",0)</f>
        <v/>
      </c>
      <c r="C111">
        <f>_xlfn.XLOOKUP(PassiveEffect[[#This Row],[id]],PassiveProperty[passive_effect_id],PassiveProperty['#effect_memo],"__",0)</f>
        <v/>
      </c>
      <c r="D111" t="inlineStr">
        <is>
          <t>ModForwardLeapImpulse</t>
        </is>
      </c>
      <c r="E111" t="n">
        <v>-1</v>
      </c>
      <c r="F111" t="n">
        <v>100000</v>
      </c>
      <c r="G111" t="n">
        <v>-1</v>
      </c>
      <c r="H111" t="n">
        <v>-1</v>
      </c>
      <c r="I111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2025-10-23T01:44:10Z</dcterms:created>
  <dcterms:modified xsi:type="dcterms:W3CDTF">2026-03-09T07:44:00Z</dcterms:modified>
  <cp:lastModifiedBy>Habin Kim (김하빈)</cp:lastModifiedBy>
</cp:coreProperties>
</file>