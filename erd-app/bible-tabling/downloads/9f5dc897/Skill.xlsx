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6" autoFilterDateGrouping="1"/>
  </bookViews>
  <sheets>
    <sheet name="Skill" sheetId="1" state="visible" r:id="rId1"/>
    <sheet name="SkillSet" sheetId="2" state="visible" r:id="rId2"/>
    <sheet name="SkillTrans" sheetId="3" state="visible" r:id="rId3"/>
    <sheet name="SkillCondition" sheetId="4" state="visible" r:id="rId4"/>
    <sheet name="SkillExecute" sheetId="5" state="visible" r:id="rId5"/>
    <sheet name="SkillExecuteRange" sheetId="6" state="visible" r:id="rId6"/>
    <sheet name="SkillExecuteEffect" sheetId="7" state="visible" r:id="rId7"/>
    <sheet name="SkillExecuteResultDisplay" sheetId="8" state="visible" r:id="rId8"/>
    <sheet name="SkillSummon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3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dashed">
        <color indexed="64"/>
      </left>
      <right style="dashed">
        <color indexed="64"/>
      </right>
      <top style="thin">
        <color rgb="FF95B3D7"/>
      </top>
      <bottom/>
      <diagonal/>
    </border>
    <border>
      <left style="dashed">
        <color indexed="64"/>
      </left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0" borderId="2" pivotButton="0" quotePrefix="0" xfId="0"/>
    <xf numFmtId="0" fontId="0" fillId="4" borderId="2" pivotButton="0" quotePrefix="0" xfId="0"/>
    <xf numFmtId="0" fontId="3" fillId="0" borderId="0" applyAlignment="1" pivotButton="0" quotePrefix="0" xfId="0">
      <alignment vertical="center"/>
    </xf>
    <xf numFmtId="0" fontId="6" fillId="5" borderId="0" pivotButton="0" quotePrefix="0" xfId="0"/>
    <xf numFmtId="0" fontId="7" fillId="0" borderId="3" pivotButton="0" quotePrefix="0" xfId="0"/>
    <xf numFmtId="0" fontId="7" fillId="0" borderId="4" pivotButton="0" quotePrefix="0" xfId="0"/>
    <xf numFmtId="0" fontId="0" fillId="6" borderId="0" pivotButton="0" quotePrefix="0" xfId="0"/>
    <xf numFmtId="0" fontId="8" fillId="0" borderId="1" pivotButton="0" quotePrefix="0" xfId="0"/>
    <xf numFmtId="0" fontId="8" fillId="0" borderId="0" pivotButton="0" quotePrefix="0" xfId="0"/>
    <xf numFmtId="0" fontId="7" fillId="0" borderId="5" pivotButton="0" quotePrefix="0" xfId="0"/>
    <xf numFmtId="0" fontId="0" fillId="7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0" fillId="8" borderId="0" pivotButton="0" quotePrefix="0" xfId="0"/>
    <xf numFmtId="0" fontId="9" fillId="0" borderId="1" pivotButton="0" quotePrefix="0" xfId="0"/>
    <xf numFmtId="0" fontId="9" fillId="0" borderId="0" pivotButton="0" quotePrefix="0" xfId="0"/>
    <xf numFmtId="0" fontId="1" fillId="0" borderId="0" applyAlignment="1" pivotButton="0" quotePrefix="0" xfId="0">
      <alignment vertical="center"/>
    </xf>
    <xf numFmtId="0" fontId="7" fillId="0" borderId="6" pivotButton="0" quotePrefix="0" xfId="0"/>
    <xf numFmtId="0" fontId="0" fillId="9" borderId="0" pivotButton="0" quotePrefix="0" xfId="0"/>
  </cellXfs>
  <cellStyles count="1">
    <cellStyle name="표준" xfId="0" builtinId="0"/>
  </cellStyles>
  <dxfs count="25">
    <dxf>
      <fill>
        <patternFill>
          <bgColor theme="5" tint="0.5999633777886288"/>
        </patternFill>
      </fill>
    </dxf>
    <dxf>
      <fill>
        <patternFill>
          <bgColor rgb="FF00B050"/>
        </patternFill>
      </fill>
    </dxf>
    <dxf>
      <fill>
        <patternFill>
          <bgColor theme="5" tint="0.5999633777886288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맑은 고딕"/>
        <family val="2"/>
        <strike val="0"/>
        <outline val="0"/>
        <shadow val="0"/>
        <color rgb="FFFF0000"/>
        <sz val="11"/>
        <vertAlign val="baseline"/>
        <scheme val="minor"/>
      </font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border>
        <left style="dashed">
          <color auto="1"/>
        </left>
        <right/>
        <top/>
        <bottom/>
        <vertical/>
        <horizontal/>
      </border>
    </dxf>
    <dxf>
      <border>
        <left style="dashed">
          <color auto="1"/>
        </left>
        <right/>
        <top/>
        <bottom/>
        <vertical/>
        <horizontal/>
      </border>
    </dxf>
    <dxf>
      <border>
        <left style="dashed">
          <color auto="1"/>
        </left>
        <right style="dashed">
          <color auto="1"/>
        </right>
        <top/>
        <bottom/>
        <vertical/>
        <horizontal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rgb="FFFF000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kill" displayName="Skill" ref="A2:CA20" headerRowCount="1">
  <autoFilter ref="A2:CA20"/>
  <tableColumns count="79">
    <tableColumn id="1" name="id"/>
    <tableColumn id="2" name="#name_memo"/>
    <tableColumn id="3" name="skill_tool_title"/>
    <tableColumn id="4" name="skill_ui_type"/>
    <tableColumn id="80" name="skill_group_id"/>
    <tableColumn id="5" name="display_name">
      <calculatedColumnFormula>Skill[[#This Row],[skill_ui_type]]&amp;"_"&amp;"Name_"&amp;Skill[[#This Row],[skill_group_id]]</calculatedColumnFormula>
    </tableColumn>
    <tableColumn id="6" name="display_desc">
      <calculatedColumnFormula>Skill[[#This Row],[skill_ui_type]]&amp;"_"&amp;"Desc_"&amp;Skill[[#This Row],[skill_group_id]]</calculatedColumnFormula>
    </tableColumn>
    <tableColumn id="7" name="icon" dataDxfId="24"/>
    <tableColumn id="8" name="skill_id_display_data"/>
    <tableColumn id="9" name="skill_category"/>
    <tableColumn id="10" name="skill_type"/>
    <tableColumn id="11" name="crosshair_aim"/>
    <tableColumn id="12" name="crosshair_line"/>
    <tableColumn id="13" name="directional_animation"/>
    <tableColumn id="15" name="origin_link_id"/>
    <tableColumn id="16" name="next_link_id"/>
    <tableColumn id="17" name="charge_link"/>
    <tableColumn id="18" name="passive_address_id"/>
    <tableColumn id="19" name="startcool"/>
    <tableColumn id="20" name="cooldown"/>
    <tableColumn id="21" name="stack_max"/>
    <tableColumn id="22" name="change_stamina_value"/>
    <tableColumn id="23" name="change_stamina_tick"/>
    <tableColumn id="24" name="change_stamina_value_tick"/>
    <tableColumn id="25" name="change_en_type"/>
    <tableColumn id="26" name="change_en_value"/>
    <tableColumn id="27" name="change_en_tick"/>
    <tableColumn id="28" name="change_en_value_tick"/>
    <tableColumn id="29" name="priority"/>
    <tableColumn id="30" name="priority_wall"/>
    <tableColumn id="31" name="movable_rate"/>
    <tableColumn id="32" name="rotatable_rate"/>
    <tableColumn id="33" name="base_rotation_mode"/>
    <tableColumn id="34" name="is_jumpable"/>
    <tableColumn id="35" name="available_tag"/>
    <tableColumn id="36" name="proper_distance"/>
    <tableColumn id="37" name="skill_distance"/>
    <tableColumn id="38" name="max_duration"/>
    <tableColumn id="39" name="min_skill_delay"/>
    <tableColumn id="40" name="forceplay_start"/>
    <tableColumn id="41" name="forceplay_end"/>
    <tableColumn id="42" name="input_rec_start"/>
    <tableColumn id="43" name="affected_attack_speed"/>
    <tableColumn id="44" name="aggro_plat_value"/>
    <tableColumn id="45" name="aggro_value"/>
    <tableColumn id="46" name="execute_option"/>
    <tableColumn id="47" name="execute_chk_type"/>
    <tableColumn id="48" name="execute_start1"/>
    <tableColumn id="49" name="execute_id1"/>
    <tableColumn id="50" name="execute_start2"/>
    <tableColumn id="51" name="execute_id2"/>
    <tableColumn id="52" name="execute_start3"/>
    <tableColumn id="53" name="execute_id3"/>
    <tableColumn id="54" name="execute_start4"/>
    <tableColumn id="55" name="execute_id4"/>
    <tableColumn id="56" name="execute_start5"/>
    <tableColumn id="57" name="execute_id5"/>
    <tableColumn id="58" name="mark_id"/>
    <tableColumn id="59" name="mark_start"/>
    <tableColumn id="60" name="mark_end"/>
    <tableColumn id="61" name="armor_type"/>
    <tableColumn id="62" name="armor_start"/>
    <tableColumn id="63" name="armor_end"/>
    <tableColumn id="64" name="armor_immune"/>
    <tableColumn id="65" name="look_direction"/>
    <tableColumn id="66" name="chase_start"/>
    <tableColumn id="67" name="chase_end"/>
    <tableColumn id="68" name="chase_range"/>
    <tableColumn id="69" name="chase_distance"/>
    <tableColumn id="70" name="ai_homing_start"/>
    <tableColumn id="71" name="ai_homing_end"/>
    <tableColumn id="72" name="ai_homing_speed"/>
    <tableColumn id="73" name="cast_step_res"/>
    <tableColumn id="74" name="loop_step_res"/>
    <tableColumn id="75" name="cast_duration"/>
    <tableColumn id="76" name="play_step_res"/>
    <tableColumn id="77" name="target_play_res"/>
    <tableColumn id="78" name="passive_id"/>
    <tableColumn id="79" name="post_skill_dra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killSet" displayName="SkillSet" ref="A2:E15" headerRowCount="1">
  <autoFilter ref="A2:E15"/>
  <tableColumns count="5">
    <tableColumn id="1" name="id" dataDxfId="23"/>
    <tableColumn id="2" name="#character_memo"/>
    <tableColumn id="3" name="#name_memo" dataDxfId="22">
      <calculatedColumnFormula>_xlfn.XLOOKUP(SkillSet[[#This Row],[skill_id]],Skill[id],Skill['#name_memo],"__",0)</calculatedColumnFormula>
    </tableColumn>
    <tableColumn id="6" name="slot"/>
    <tableColumn id="4" name="skill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killTrans" displayName="SkillTrans" ref="A2:K8" headerRowCount="1">
  <autoFilter ref="A2:K8"/>
  <tableColumns count="11">
    <tableColumn id="1" name="skill_fk"/>
    <tableColumn id="2" name="#name_memo"/>
    <tableColumn id="3" name="trans_id"/>
    <tableColumn id="4" name="trans_skill_id"/>
    <tableColumn id="5" name="check_trans_type"/>
    <tableColumn id="6" name="trans_condition"/>
    <tableColumn id="7" name="trans_condition_value"/>
    <tableColumn id="8" name="trans_enable_start"/>
    <tableColumn id="9" name="trans_enable_end"/>
    <tableColumn id="10" name="enable_visualize"/>
    <tableColumn id="11" name="ignore_cooldow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killCondition" displayName="SkillCondition" ref="A2:E6" headerRowCount="1" dataDxfId="21">
  <autoFilter ref="A2:E6"/>
  <tableColumns count="5">
    <tableColumn id="1" name="skill_fk" dataDxfId="20"/>
    <tableColumn id="2" name="#name_memo" dataDxfId="19">
      <calculatedColumnFormula>_xlfn.XLOOKUP(SkillCondition[[#This Row],[skill_fk]],Skill[id],Skill['#name_memo],"__",0)</calculatedColumnFormula>
    </tableColumn>
    <tableColumn id="3" name="check_condition" dataDxfId="18"/>
    <tableColumn id="4" name="condtion_value1" dataDxfId="17"/>
    <tableColumn id="5" name="condtion_value2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killExecute" displayName="SkillExecute" ref="A2:J45" headerRowCount="1">
  <autoFilter ref="A2:J45"/>
  <tableColumns count="10">
    <tableColumn id="1" name="id"/>
    <tableColumn id="2" name="#name_memo"/>
    <tableColumn id="3" name="execute_check_type"/>
    <tableColumn id="4" name="execute_range_id" dataDxfId="15"/>
    <tableColumn id="5" name="execute_effect_id1" dataDxfId="14"/>
    <tableColumn id="6" name="execute_effect_id2"/>
    <tableColumn id="7" name="execute_effect_id3"/>
    <tableColumn id="8" name="execute_effect_id4"/>
    <tableColumn id="9" name="execute_effect_id5"/>
    <tableColumn id="10" name="caster_result_execute_effect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killExecuteRange" displayName="SkillExecuteRange" ref="A2:Q33" headerRowCount="1">
  <autoFilter ref="A2:Q33"/>
  <tableColumns count="17">
    <tableColumn id="1" name="id"/>
    <tableColumn id="2" name="#name_memo"/>
    <tableColumn id="3" name="exec_target"/>
    <tableColumn id="4" name="check_target_num"/>
    <tableColumn id="5" name="exec_target_compare"/>
    <tableColumn id="6" name="exec_shape_type"/>
    <tableColumn id="7" name="shape_value1"/>
    <tableColumn id="8" name="shape_value2"/>
    <tableColumn id="9" name="shape_value3"/>
    <tableColumn id="10" name="shape_value4"/>
    <tableColumn id="11" name="spawn_position_type"/>
    <tableColumn id="12" name="shape_position"/>
    <tableColumn id="13" name="shape_rotation"/>
    <tableColumn id="14" name="divide_count"/>
    <tableColumn id="15" name="repeat_duration"/>
    <tableColumn id="16" name="warning_display_time"/>
    <tableColumn id="17" name="warning_display_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killExecuteEffect" displayName="SkillExecuteEffect" ref="A2:Q54" headerRowCount="1">
  <autoFilter ref="A2:Q54"/>
  <tableColumns count="17">
    <tableColumn id="1" name="id"/>
    <tableColumn id="2" name="#group_memo"/>
    <tableColumn id="3" name="#name_memo"/>
    <tableColumn id="4" name="effect_type"/>
    <tableColumn id="5" name="attack_type"/>
    <tableColumn id="6" name="damage_type"/>
    <tableColumn id="7" name="weapon_type"/>
    <tableColumn id="8" name="elemental_type"/>
    <tableColumn id="9" name="rate"/>
    <tableColumn id="10" name="effect_value1"/>
    <tableColumn id="11" name="effect_value2"/>
    <tableColumn id="12" name="effect_value3"/>
    <tableColumn id="17" name="life_steal_ratio"/>
    <tableColumn id="13" name="hit_type"/>
    <tableColumn id="14" name="execute_result_display_id"/>
    <tableColumn id="15" name="part_hit_id"/>
    <tableColumn id="16" name="caster_result_energy_ga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killExecuteResultDisplay" displayName="SkillExecuteResultDisplay" ref="A2:Q7" headerRowCount="1">
  <autoFilter ref="A2:Q7"/>
  <tableColumns count="17">
    <tableColumn id="1" name="id"/>
    <tableColumn id="2" name="#name_memo"/>
    <tableColumn id="3" name="hit_option"/>
    <tableColumn id="4" name="hit_option_delay"/>
    <tableColumn id="5" name="hit_push_distance"/>
    <tableColumn id="6" name="hit_force_air"/>
    <tableColumn id="7" name="hit_push_duration"/>
    <tableColumn id="8" name="display_priority"/>
    <tableColumn id="9" name="display_priority_wall"/>
    <tableColumn id="10" name="battle_display_set_id"/>
    <tableColumn id="11" name="hit_result_res"/>
    <tableColumn id="12" name="is_result_upperbody"/>
    <tableColumn id="13" name="caster_result_res"/>
    <tableColumn id="14" name="is_caster_result_upperbody"/>
    <tableColumn id="15" name="bone_shake_direction"/>
    <tableColumn id="16" name="bone_shake_impulse"/>
    <tableColumn id="17" name="char_shake_impuls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killSummon" displayName="SkillSummon" ref="A2:I8" headerRowCount="1" dataDxfId="12">
  <autoFilter ref="A2:I8"/>
  <tableColumns count="9">
    <tableColumn id="1" name="id" dataDxfId="11"/>
    <tableColumn id="2" name="#name_memo" dataDxfId="10"/>
    <tableColumn id="3" name="character_id" dataDxfId="9"/>
    <tableColumn id="9" name="netobject_id" dataDxfId="8"/>
    <tableColumn id="4" name="spawn_pos_type" dataDxfId="7"/>
    <tableColumn id="5" name="summon_position" dataDxfId="6"/>
    <tableColumn id="6" name="summon_rotate" dataDxfId="5"/>
    <tableColumn id="7" name="life_duration" dataDxfId="4"/>
    <tableColumn id="8" name="is_kill_skillen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"/>
  <sheetViews>
    <sheetView zoomScale="85" zoomScaleNormal="85" workbookViewId="0">
      <pane xSplit="3" ySplit="2" topLeftCell="AO3" activePane="bottomRight" state="frozen"/>
      <selection pane="topRight" activeCell="D1" sqref="D1"/>
      <selection pane="bottomLeft" activeCell="A3" sqref="A3"/>
      <selection pane="bottomRight" activeCell="C23" sqref="C23"/>
    </sheetView>
  </sheetViews>
  <sheetFormatPr baseColWidth="8" defaultRowHeight="16.5"/>
  <cols>
    <col width="11" bestFit="1" customWidth="1" min="1" max="1"/>
    <col width="26.625" bestFit="1" customWidth="1" min="2" max="2"/>
    <col width="19.5" bestFit="1" customWidth="1" min="3" max="3"/>
    <col width="16" bestFit="1" customWidth="1" min="4" max="4"/>
    <col width="15.875" bestFit="1" customWidth="1" min="5" max="5"/>
    <col width="22.5" bestFit="1" customWidth="1" min="6" max="6"/>
    <col width="21.375" bestFit="1" customWidth="1" min="7" max="7"/>
    <col width="29.125" bestFit="1" customWidth="1" min="8" max="8"/>
    <col width="15.875" customWidth="1" min="9" max="9"/>
    <col width="11.75" bestFit="1" customWidth="1" min="10" max="10"/>
    <col width="23.75" bestFit="1" customWidth="1" min="11" max="11"/>
    <col width="15.875" bestFit="1" customWidth="1" min="12" max="12"/>
    <col width="15.375" bestFit="1" customWidth="1" min="13" max="13"/>
    <col width="14" bestFit="1" customWidth="1" min="14" max="14"/>
    <col width="20.875" bestFit="1" customWidth="1" min="15" max="15"/>
    <col width="11.5" bestFit="1" customWidth="1" min="16" max="16"/>
    <col width="12.25" bestFit="1" customWidth="1" min="17" max="17"/>
    <col width="12.75" bestFit="1" customWidth="1" min="18" max="18"/>
    <col width="24.25" bestFit="1" customWidth="1" min="19" max="19"/>
    <col width="22.625" bestFit="1" customWidth="1" min="20" max="20"/>
    <col width="28.625" bestFit="1" customWidth="1" min="21" max="21"/>
    <col width="18.125" bestFit="1" customWidth="1" min="22" max="22"/>
    <col width="18.875" bestFit="1" customWidth="1" min="23" max="23"/>
    <col width="17.25" bestFit="1" customWidth="1" min="24" max="24"/>
    <col width="23.25" bestFit="1" customWidth="1" min="25" max="25"/>
    <col width="10.25" bestFit="1" customWidth="1" min="26" max="26"/>
    <col width="14.75" bestFit="1" customWidth="1" min="27" max="27"/>
    <col width="15.875" bestFit="1" customWidth="1" min="28" max="28"/>
    <col width="16.375" bestFit="1" customWidth="1" min="29" max="29"/>
    <col width="14.125" bestFit="1" customWidth="1" min="30" max="30"/>
    <col width="16.5" bestFit="1" customWidth="1" min="31" max="31"/>
    <col width="18.25" bestFit="1" customWidth="1" min="32" max="32"/>
    <col width="22.375" bestFit="1" customWidth="1" min="33" max="33"/>
    <col width="16.125" bestFit="1" customWidth="1" min="34" max="34"/>
    <col width="17.125" bestFit="1" customWidth="1" min="35" max="35"/>
    <col width="17.25" bestFit="1" customWidth="1" min="36" max="36"/>
    <col width="16.25" bestFit="1" customWidth="1" min="37" max="37"/>
    <col width="17.125" bestFit="1" customWidth="1" min="38" max="38"/>
    <col width="24.125" bestFit="1" customWidth="1" min="39" max="39"/>
    <col width="19" bestFit="1" customWidth="1" min="40" max="40"/>
    <col width="14.5" bestFit="1" customWidth="1" min="41" max="41"/>
    <col width="17.5" bestFit="1" customWidth="1" min="42" max="42"/>
    <col width="19.625" bestFit="1" customWidth="1" style="3" min="43" max="43"/>
    <col width="17" bestFit="1" customWidth="1" min="44" max="44"/>
    <col width="14.125" bestFit="1" customWidth="1" min="45" max="45"/>
    <col width="17" bestFit="1" customWidth="1" min="46" max="48"/>
    <col width="14.125" bestFit="1" customWidth="1" min="49" max="49"/>
    <col width="17" bestFit="1" customWidth="1" min="50" max="50"/>
    <col width="14.125" bestFit="1" customWidth="1" min="51" max="51"/>
    <col width="17" bestFit="1" customWidth="1" min="52" max="52"/>
    <col width="14.125" customWidth="1" style="3" min="53" max="53"/>
    <col width="14.125" customWidth="1" min="54" max="55"/>
    <col width="14.125" bestFit="1" customWidth="1" style="3" min="56" max="56"/>
    <col width="13.875" bestFit="1" customWidth="1" min="57" max="57"/>
    <col width="14.125" bestFit="1" customWidth="1" min="58" max="58"/>
    <col width="13.25" bestFit="1" customWidth="1" min="59" max="59"/>
    <col width="16.375" bestFit="1" customWidth="1" min="60" max="60"/>
    <col width="14.625" bestFit="1" customWidth="1" min="61" max="61"/>
    <col width="17.125" bestFit="1" customWidth="1" min="62" max="62"/>
    <col width="18.25" bestFit="1" customWidth="1" min="63" max="63"/>
    <col width="17.25" bestFit="1" customWidth="1" min="64" max="64"/>
    <col width="19.375" bestFit="1" customWidth="1" min="65" max="65"/>
    <col width="15.375" bestFit="1" customWidth="1" min="66" max="66"/>
    <col width="15.875" bestFit="1" customWidth="1" min="67" max="67"/>
    <col width="33.25" bestFit="1" customWidth="1" min="68" max="68"/>
    <col width="15.625" bestFit="1" customWidth="1" min="69" max="69"/>
    <col width="17.375" bestFit="1" customWidth="1" min="70" max="70"/>
    <col width="18.5" bestFit="1" customWidth="1" min="71" max="72"/>
    <col width="30.875" bestFit="1" customWidth="1" min="76" max="76"/>
    <col width="17.75" bestFit="1" customWidth="1" min="77" max="77"/>
    <col width="12.75" bestFit="1" customWidth="1" min="78" max="78"/>
    <col width="17.625" bestFit="1" customWidth="1" min="79" max="79"/>
  </cols>
  <sheetData>
    <row r="1">
      <c r="A1" t="inlineStr">
        <is>
          <t>DataGroup</t>
        </is>
      </c>
      <c r="B1" t="inlineStr">
        <is>
          <t>Skill</t>
        </is>
      </c>
    </row>
    <row r="2">
      <c r="A2" t="inlineStr">
        <is>
          <t>id</t>
        </is>
      </c>
      <c r="B2" t="inlineStr">
        <is>
          <t>#name_memo</t>
        </is>
      </c>
      <c r="C2" t="inlineStr">
        <is>
          <t>skill_tool_title</t>
        </is>
      </c>
      <c r="D2" t="inlineStr">
        <is>
          <t>skill_ui_type</t>
        </is>
      </c>
      <c r="E2" t="inlineStr">
        <is>
          <t>skill_group_id</t>
        </is>
      </c>
      <c r="F2" t="inlineStr">
        <is>
          <t>display_name</t>
        </is>
      </c>
      <c r="G2" t="inlineStr">
        <is>
          <t>display_desc</t>
        </is>
      </c>
      <c r="H2" t="inlineStr">
        <is>
          <t>icon</t>
        </is>
      </c>
      <c r="I2" t="inlineStr">
        <is>
          <t>skill_id_display_data</t>
        </is>
      </c>
      <c r="J2" t="inlineStr">
        <is>
          <t>skill_category</t>
        </is>
      </c>
      <c r="K2" t="inlineStr">
        <is>
          <t>skill_type</t>
        </is>
      </c>
      <c r="L2" t="inlineStr">
        <is>
          <t>crosshair_aim</t>
        </is>
      </c>
      <c r="M2" t="inlineStr">
        <is>
          <t>crosshair_line</t>
        </is>
      </c>
      <c r="N2" t="inlineStr">
        <is>
          <t>directional_animation</t>
        </is>
      </c>
      <c r="O2" t="inlineStr">
        <is>
          <t>origin_link_id</t>
        </is>
      </c>
      <c r="P2" t="inlineStr">
        <is>
          <t>next_link_id</t>
        </is>
      </c>
      <c r="Q2" t="inlineStr">
        <is>
          <t>charge_link</t>
        </is>
      </c>
      <c r="R2" t="inlineStr">
        <is>
          <t>passive_address_id</t>
        </is>
      </c>
      <c r="S2" t="inlineStr">
        <is>
          <t>startcool</t>
        </is>
      </c>
      <c r="T2" t="inlineStr">
        <is>
          <t>cooldown</t>
        </is>
      </c>
      <c r="U2" t="inlineStr">
        <is>
          <t>stack_max</t>
        </is>
      </c>
      <c r="V2" t="inlineStr">
        <is>
          <t>change_stamina_value</t>
        </is>
      </c>
      <c r="W2" t="inlineStr">
        <is>
          <t>change_stamina_tick</t>
        </is>
      </c>
      <c r="X2" t="inlineStr">
        <is>
          <t>change_stamina_value_tick</t>
        </is>
      </c>
      <c r="Y2" t="inlineStr">
        <is>
          <t>change_en_type</t>
        </is>
      </c>
      <c r="Z2" t="inlineStr">
        <is>
          <t>change_en_value</t>
        </is>
      </c>
      <c r="AA2" t="inlineStr">
        <is>
          <t>change_en_tick</t>
        </is>
      </c>
      <c r="AB2" t="inlineStr">
        <is>
          <t>change_en_value_tick</t>
        </is>
      </c>
      <c r="AC2" t="inlineStr">
        <is>
          <t>priority</t>
        </is>
      </c>
      <c r="AD2" t="inlineStr">
        <is>
          <t>priority_wall</t>
        </is>
      </c>
      <c r="AE2" t="inlineStr">
        <is>
          <t>movable_rate</t>
        </is>
      </c>
      <c r="AF2" t="inlineStr">
        <is>
          <t>rotatable_rate</t>
        </is>
      </c>
      <c r="AG2" t="inlineStr">
        <is>
          <t>base_rotation_mode</t>
        </is>
      </c>
      <c r="AH2" t="inlineStr">
        <is>
          <t>is_jumpable</t>
        </is>
      </c>
      <c r="AI2" t="inlineStr">
        <is>
          <t>available_tag</t>
        </is>
      </c>
      <c r="AJ2" t="inlineStr">
        <is>
          <t>proper_distance</t>
        </is>
      </c>
      <c r="AK2" t="inlineStr">
        <is>
          <t>skill_distance</t>
        </is>
      </c>
      <c r="AL2" t="inlineStr">
        <is>
          <t>max_duration</t>
        </is>
      </c>
      <c r="AM2" t="inlineStr">
        <is>
          <t>min_skill_delay</t>
        </is>
      </c>
      <c r="AN2" t="inlineStr">
        <is>
          <t>forceplay_start</t>
        </is>
      </c>
      <c r="AO2" t="inlineStr">
        <is>
          <t>forceplay_end</t>
        </is>
      </c>
      <c r="AP2" t="inlineStr">
        <is>
          <t>input_rec_start</t>
        </is>
      </c>
      <c r="AQ2" t="inlineStr">
        <is>
          <t>affected_attack_speed</t>
        </is>
      </c>
      <c r="AR2" t="inlineStr">
        <is>
          <t>aggro_plat_value</t>
        </is>
      </c>
      <c r="AS2" t="inlineStr">
        <is>
          <t>aggro_value</t>
        </is>
      </c>
      <c r="AT2" t="inlineStr">
        <is>
          <t>execute_option</t>
        </is>
      </c>
      <c r="AU2" t="inlineStr">
        <is>
          <t>execute_chk_type</t>
        </is>
      </c>
      <c r="AV2" t="inlineStr">
        <is>
          <t>execute_start1</t>
        </is>
      </c>
      <c r="AW2" t="inlineStr">
        <is>
          <t>execute_id1</t>
        </is>
      </c>
      <c r="AX2" t="inlineStr">
        <is>
          <t>execute_start2</t>
        </is>
      </c>
      <c r="AY2" t="inlineStr">
        <is>
          <t>execute_id2</t>
        </is>
      </c>
      <c r="AZ2" t="inlineStr">
        <is>
          <t>execute_start3</t>
        </is>
      </c>
      <c r="BA2" t="inlineStr">
        <is>
          <t>execute_id3</t>
        </is>
      </c>
      <c r="BB2" t="inlineStr">
        <is>
          <t>execute_start4</t>
        </is>
      </c>
      <c r="BC2" t="inlineStr">
        <is>
          <t>execute_id4</t>
        </is>
      </c>
      <c r="BD2" t="inlineStr">
        <is>
          <t>execute_start5</t>
        </is>
      </c>
      <c r="BE2" t="inlineStr">
        <is>
          <t>execute_id5</t>
        </is>
      </c>
      <c r="BF2" t="inlineStr">
        <is>
          <t>mark_id</t>
        </is>
      </c>
      <c r="BG2" t="inlineStr">
        <is>
          <t>mark_start</t>
        </is>
      </c>
      <c r="BH2" t="inlineStr">
        <is>
          <t>mark_end</t>
        </is>
      </c>
      <c r="BI2" t="inlineStr">
        <is>
          <t>armor_type</t>
        </is>
      </c>
      <c r="BJ2" t="inlineStr">
        <is>
          <t>armor_start</t>
        </is>
      </c>
      <c r="BK2" t="inlineStr">
        <is>
          <t>armor_end</t>
        </is>
      </c>
      <c r="BL2" t="inlineStr">
        <is>
          <t>armor_immune</t>
        </is>
      </c>
      <c r="BM2" t="inlineStr">
        <is>
          <t>look_direction</t>
        </is>
      </c>
      <c r="BN2" t="inlineStr">
        <is>
          <t>chase_start</t>
        </is>
      </c>
      <c r="BO2" t="inlineStr">
        <is>
          <t>chase_end</t>
        </is>
      </c>
      <c r="BP2" t="inlineStr">
        <is>
          <t>chase_range</t>
        </is>
      </c>
      <c r="BQ2" t="inlineStr">
        <is>
          <t>chase_distance</t>
        </is>
      </c>
      <c r="BR2" t="inlineStr">
        <is>
          <t>ai_homing_start</t>
        </is>
      </c>
      <c r="BS2" t="inlineStr">
        <is>
          <t>ai_homing_end</t>
        </is>
      </c>
      <c r="BT2" t="inlineStr">
        <is>
          <t>ai_homing_speed</t>
        </is>
      </c>
      <c r="BU2" t="inlineStr">
        <is>
          <t>cast_step_res</t>
        </is>
      </c>
      <c r="BV2" t="inlineStr">
        <is>
          <t>loop_step_res</t>
        </is>
      </c>
      <c r="BW2" t="inlineStr">
        <is>
          <t>cast_duration</t>
        </is>
      </c>
      <c r="BX2" t="inlineStr">
        <is>
          <t>play_step_res</t>
        </is>
      </c>
      <c r="BY2" t="inlineStr">
        <is>
          <t>target_play_res</t>
        </is>
      </c>
      <c r="BZ2" t="inlineStr">
        <is>
          <t>passive_id</t>
        </is>
      </c>
      <c r="CA2" t="inlineStr">
        <is>
          <t>post_skill_draw</t>
        </is>
      </c>
    </row>
    <row r="3">
      <c r="A3" t="n">
        <v>100110</v>
      </c>
      <c r="B3" t="inlineStr">
        <is>
          <t>프리드웬_전술방패전개</t>
        </is>
      </c>
      <c r="C3" t="inlineStr">
        <is>
          <t>프리드웬_전술방패</t>
        </is>
      </c>
      <c r="D3" t="inlineStr">
        <is>
          <t>Active</t>
        </is>
      </c>
      <c r="E3" t="n">
        <v>100110</v>
      </c>
      <c r="F3">
        <f>Skill[[#This Row],[skill_ui_type]]&amp;"_"&amp;"Name_"&amp;Skill[[#This Row],[skill_group_id]]</f>
        <v/>
      </c>
      <c r="G3">
        <f>Skill[[#This Row],[skill_ui_type]]&amp;"_"&amp;"Desc_"&amp;Skill[[#This Row],[skill_group_id]]</f>
        <v/>
      </c>
      <c r="H3" s="17" t="inlineStr">
        <is>
          <t>icon_skill_active_vanguard_01</t>
        </is>
      </c>
      <c r="I3" t="n">
        <v>100110</v>
      </c>
      <c r="J3" t="inlineStr">
        <is>
          <t>Test</t>
        </is>
      </c>
      <c r="K3" t="inlineStr">
        <is>
          <t>SkillWeapon</t>
        </is>
      </c>
      <c r="L3" t="inlineStr">
        <is>
          <t>None</t>
        </is>
      </c>
      <c r="M3" t="inlineStr">
        <is>
          <t>None</t>
        </is>
      </c>
      <c r="N3" t="n">
        <v>0</v>
      </c>
      <c r="O3" t="n">
        <v>-1</v>
      </c>
      <c r="P3" t="n">
        <v>-1</v>
      </c>
      <c r="Q3" t="n">
        <v>-1</v>
      </c>
      <c r="R3" t="n">
        <v>-1</v>
      </c>
      <c r="S3" t="n">
        <v>0</v>
      </c>
      <c r="T3" t="n">
        <v>7000</v>
      </c>
      <c r="U3" t="n">
        <v>1</v>
      </c>
      <c r="V3" t="n">
        <v>0</v>
      </c>
      <c r="W3" t="n">
        <v>-1</v>
      </c>
      <c r="X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5</v>
      </c>
      <c r="AE3" t="n">
        <v>4000</v>
      </c>
      <c r="AF3" t="n">
        <v>10000</v>
      </c>
      <c r="AG3" t="inlineStr">
        <is>
          <t>None</t>
        </is>
      </c>
      <c r="AH3" t="n">
        <v>1</v>
      </c>
      <c r="AI3" t="inlineStr">
        <is>
          <t>Aero</t>
        </is>
      </c>
      <c r="AJ3" t="n">
        <v>0</v>
      </c>
      <c r="AK3" t="n">
        <v>0</v>
      </c>
      <c r="AL3" t="n">
        <v>-1</v>
      </c>
      <c r="AM3" t="n">
        <v>100</v>
      </c>
      <c r="AN3" t="n">
        <v>-1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V3" t="n">
        <v>0</v>
      </c>
      <c r="AW3" t="n">
        <v>1001101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-1</v>
      </c>
      <c r="BH3" t="n">
        <v>-1</v>
      </c>
      <c r="BI3" t="inlineStr">
        <is>
          <t>Superarmor</t>
        </is>
      </c>
      <c r="BJ3" t="n">
        <v>-1</v>
      </c>
      <c r="BK3" t="n">
        <v>-1</v>
      </c>
      <c r="BL3" t="n">
        <v>-1</v>
      </c>
      <c r="BM3" t="inlineStr">
        <is>
          <t>Crosshair</t>
        </is>
      </c>
      <c r="BN3" t="n">
        <v>-1</v>
      </c>
      <c r="BO3" t="n">
        <v>-1</v>
      </c>
      <c r="BP3" t="n">
        <v>0</v>
      </c>
      <c r="BQ3" t="n">
        <v>0</v>
      </c>
      <c r="BR3" t="n">
        <v>0</v>
      </c>
      <c r="BS3" t="n">
        <v>100</v>
      </c>
      <c r="BT3" t="n">
        <v>3600</v>
      </c>
      <c r="BW3" t="n">
        <v>-1</v>
      </c>
      <c r="BX3" t="inlineStr">
        <is>
          <t>prydwen_skill_tacticalshield_start</t>
        </is>
      </c>
      <c r="BZ3" t="n">
        <v>-1</v>
      </c>
      <c r="CA3" t="n">
        <v>0</v>
      </c>
    </row>
    <row r="4">
      <c r="A4" t="n">
        <v>100120</v>
      </c>
      <c r="B4" t="inlineStr">
        <is>
          <t>프리드웬_돌진_기본버전</t>
        </is>
      </c>
      <c r="C4" t="inlineStr">
        <is>
          <t>프리드웬_돌진_기본</t>
        </is>
      </c>
      <c r="D4" t="inlineStr">
        <is>
          <t>Active</t>
        </is>
      </c>
      <c r="E4" t="n">
        <v>100120</v>
      </c>
      <c r="F4">
        <f>Skill[[#This Row],[skill_ui_type]]&amp;"_"&amp;"Name_"&amp;Skill[[#This Row],[skill_group_id]]</f>
        <v/>
      </c>
      <c r="G4">
        <f>Skill[[#This Row],[skill_ui_type]]&amp;"_"&amp;"Desc_"&amp;Skill[[#This Row],[skill_group_id]]</f>
        <v/>
      </c>
      <c r="H4" s="17" t="inlineStr">
        <is>
          <t>icon_skill_active_vanguard_02</t>
        </is>
      </c>
      <c r="I4" t="n">
        <v>100120</v>
      </c>
      <c r="J4" t="inlineStr">
        <is>
          <t>Test</t>
        </is>
      </c>
      <c r="K4" t="inlineStr">
        <is>
          <t>Normal</t>
        </is>
      </c>
      <c r="L4" t="inlineStr">
        <is>
          <t>None</t>
        </is>
      </c>
      <c r="M4" t="inlineStr">
        <is>
          <t>None</t>
        </is>
      </c>
      <c r="N4" t="n">
        <v>0</v>
      </c>
      <c r="O4" t="n">
        <v>-1</v>
      </c>
      <c r="P4" t="n">
        <v>-1</v>
      </c>
      <c r="Q4" t="n">
        <v>-1</v>
      </c>
      <c r="R4" t="n">
        <v>-1</v>
      </c>
      <c r="S4" t="n">
        <v>0</v>
      </c>
      <c r="T4" t="n">
        <v>5000</v>
      </c>
      <c r="U4" t="n">
        <v>1</v>
      </c>
      <c r="V4" t="n">
        <v>0</v>
      </c>
      <c r="W4" t="n">
        <v>-1</v>
      </c>
      <c r="X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5</v>
      </c>
      <c r="AE4" t="n">
        <v>0</v>
      </c>
      <c r="AF4" t="n">
        <v>10000</v>
      </c>
      <c r="AG4" t="inlineStr">
        <is>
          <t>OrientRotationToCamera</t>
        </is>
      </c>
      <c r="AH4" t="n">
        <v>0</v>
      </c>
      <c r="AJ4" t="n">
        <v>0</v>
      </c>
      <c r="AK4" t="n">
        <v>0</v>
      </c>
      <c r="AL4" t="n">
        <v>-1</v>
      </c>
      <c r="AM4" t="n">
        <v>1200</v>
      </c>
      <c r="AN4" t="n">
        <v>-1</v>
      </c>
      <c r="AO4" t="n">
        <v>0</v>
      </c>
      <c r="AP4" t="n">
        <v>1000</v>
      </c>
      <c r="AQ4" t="n">
        <v>0</v>
      </c>
      <c r="AR4" t="n">
        <v>0</v>
      </c>
      <c r="AS4" t="n">
        <v>0</v>
      </c>
      <c r="AV4" t="n">
        <v>0</v>
      </c>
      <c r="AW4" t="n">
        <v>1001201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-1</v>
      </c>
      <c r="BH4" t="n">
        <v>-1</v>
      </c>
      <c r="BI4" t="inlineStr">
        <is>
          <t>Superarmor</t>
        </is>
      </c>
      <c r="BJ4" t="n">
        <v>-1</v>
      </c>
      <c r="BK4" t="n">
        <v>-1</v>
      </c>
      <c r="BL4" t="n">
        <v>-1</v>
      </c>
      <c r="BM4" t="inlineStr">
        <is>
          <t>Crosshair</t>
        </is>
      </c>
      <c r="BN4" t="n">
        <v>0</v>
      </c>
      <c r="BO4" t="n">
        <v>1000</v>
      </c>
      <c r="BP4" t="n">
        <v>90</v>
      </c>
      <c r="BQ4" t="n">
        <v>15000</v>
      </c>
      <c r="BR4" t="n">
        <v>-1</v>
      </c>
      <c r="BS4" t="n">
        <v>-1</v>
      </c>
      <c r="BT4" t="n">
        <v>-1</v>
      </c>
      <c r="BW4" t="n">
        <v>0</v>
      </c>
      <c r="BX4" t="inlineStr">
        <is>
          <t>prydwen_skill_charge</t>
        </is>
      </c>
      <c r="BZ4" t="n">
        <v>-1</v>
      </c>
      <c r="CA4" t="n">
        <v>1</v>
      </c>
    </row>
    <row r="5">
      <c r="A5" t="n">
        <v>100121</v>
      </c>
      <c r="B5" t="inlineStr">
        <is>
          <t>프리드웬_돌진_기본버전_충돌</t>
        </is>
      </c>
      <c r="C5" t="inlineStr">
        <is>
          <t>프리드웬_돌진_충돌</t>
        </is>
      </c>
      <c r="D5" t="inlineStr">
        <is>
          <t>Active</t>
        </is>
      </c>
      <c r="E5" t="n">
        <v>100120</v>
      </c>
      <c r="F5">
        <f>Skill[[#This Row],[skill_ui_type]]&amp;"_"&amp;"Name_"&amp;Skill[[#This Row],[skill_group_id]]</f>
        <v/>
      </c>
      <c r="G5">
        <f>Skill[[#This Row],[skill_ui_type]]&amp;"_"&amp;"Desc_"&amp;Skill[[#This Row],[skill_group_id]]</f>
        <v/>
      </c>
      <c r="H5" s="17" t="inlineStr">
        <is>
          <t>icon_skill_active_vanguard_02</t>
        </is>
      </c>
      <c r="I5" t="n">
        <v>100120</v>
      </c>
      <c r="J5" t="inlineStr">
        <is>
          <t>Test</t>
        </is>
      </c>
      <c r="K5" t="inlineStr">
        <is>
          <t>Normal</t>
        </is>
      </c>
      <c r="L5" t="inlineStr">
        <is>
          <t>None</t>
        </is>
      </c>
      <c r="M5" t="inlineStr">
        <is>
          <t>None</t>
        </is>
      </c>
      <c r="N5" t="n">
        <v>0</v>
      </c>
      <c r="O5" t="n">
        <v>-1</v>
      </c>
      <c r="P5" t="n">
        <v>-1</v>
      </c>
      <c r="Q5" t="n">
        <v>-1</v>
      </c>
      <c r="R5" t="n">
        <v>-1</v>
      </c>
      <c r="S5" t="n">
        <v>0</v>
      </c>
      <c r="T5" t="n">
        <v>0</v>
      </c>
      <c r="U5" t="n">
        <v>1</v>
      </c>
      <c r="V5" t="n">
        <v>0</v>
      </c>
      <c r="W5" t="n">
        <v>-1</v>
      </c>
      <c r="X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5</v>
      </c>
      <c r="AE5" t="n">
        <v>0</v>
      </c>
      <c r="AF5" t="n">
        <v>0</v>
      </c>
      <c r="AG5" t="inlineStr">
        <is>
          <t>OrientRotationToCamera</t>
        </is>
      </c>
      <c r="AH5" t="n">
        <v>0</v>
      </c>
      <c r="AJ5" t="n">
        <v>0</v>
      </c>
      <c r="AK5" t="n">
        <v>0</v>
      </c>
      <c r="AL5" t="n">
        <v>-1</v>
      </c>
      <c r="AM5" t="n">
        <v>300</v>
      </c>
      <c r="AN5" t="n">
        <v>-1</v>
      </c>
      <c r="AO5" t="n">
        <v>0</v>
      </c>
      <c r="AP5" t="n">
        <v>100</v>
      </c>
      <c r="AQ5" t="n">
        <v>0</v>
      </c>
      <c r="AR5" t="n">
        <v>0</v>
      </c>
      <c r="AS5" t="n">
        <v>0</v>
      </c>
      <c r="AV5" t="n">
        <v>0</v>
      </c>
      <c r="AW5" t="n">
        <v>1001211</v>
      </c>
      <c r="AX5" t="n">
        <v>0</v>
      </c>
      <c r="AY5" t="n">
        <v>1001212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-1</v>
      </c>
      <c r="BH5" t="n">
        <v>-1</v>
      </c>
      <c r="BI5" t="inlineStr">
        <is>
          <t>Superarmor</t>
        </is>
      </c>
      <c r="BJ5" t="n">
        <v>-1</v>
      </c>
      <c r="BK5" t="n">
        <v>-1</v>
      </c>
      <c r="BL5" t="n">
        <v>-1</v>
      </c>
      <c r="BM5" t="inlineStr">
        <is>
          <t>Crosshair</t>
        </is>
      </c>
      <c r="BN5" t="n">
        <v>-1</v>
      </c>
      <c r="BO5" t="n">
        <v>-1</v>
      </c>
      <c r="BP5" t="n">
        <v>0</v>
      </c>
      <c r="BQ5" t="n">
        <v>0</v>
      </c>
      <c r="BR5" t="n">
        <v>-1</v>
      </c>
      <c r="BS5" t="n">
        <v>-1</v>
      </c>
      <c r="BT5" t="n">
        <v>-1</v>
      </c>
      <c r="BW5" t="n">
        <v>0</v>
      </c>
      <c r="BX5" t="inlineStr">
        <is>
          <t>prydwen_skill_charge_end</t>
        </is>
      </c>
      <c r="BZ5" t="n">
        <v>-1</v>
      </c>
      <c r="CA5" t="n">
        <v>0</v>
      </c>
    </row>
    <row r="6">
      <c r="A6" t="n">
        <v>100122</v>
      </c>
      <c r="B6" t="inlineStr">
        <is>
          <t>프리드웬_돌진_강화버전</t>
        </is>
      </c>
      <c r="C6" t="inlineStr">
        <is>
          <t>프리드웬_돌진_강화</t>
        </is>
      </c>
      <c r="D6" t="inlineStr">
        <is>
          <t>Active</t>
        </is>
      </c>
      <c r="E6" t="n">
        <v>100120</v>
      </c>
      <c r="F6">
        <f>Skill[[#This Row],[skill_ui_type]]&amp;"_"&amp;"Name_"&amp;Skill[[#This Row],[skill_group_id]]</f>
        <v/>
      </c>
      <c r="G6">
        <f>Skill[[#This Row],[skill_ui_type]]&amp;"_"&amp;"Desc_"&amp;Skill[[#This Row],[skill_group_id]]</f>
        <v/>
      </c>
      <c r="H6" s="17" t="inlineStr">
        <is>
          <t>icon_skill_active_vanguard_02</t>
        </is>
      </c>
      <c r="I6" t="n">
        <v>100120</v>
      </c>
      <c r="J6" t="inlineStr">
        <is>
          <t>Test</t>
        </is>
      </c>
      <c r="K6" t="inlineStr">
        <is>
          <t>Normal</t>
        </is>
      </c>
      <c r="L6" t="inlineStr">
        <is>
          <t>None</t>
        </is>
      </c>
      <c r="M6" t="inlineStr">
        <is>
          <t>None</t>
        </is>
      </c>
      <c r="N6" t="n">
        <v>0</v>
      </c>
      <c r="O6" t="n">
        <v>-1</v>
      </c>
      <c r="P6" t="n">
        <v>-1</v>
      </c>
      <c r="Q6" t="n">
        <v>-1</v>
      </c>
      <c r="R6" t="n">
        <v>-1</v>
      </c>
      <c r="S6" t="n">
        <v>0</v>
      </c>
      <c r="T6" t="n">
        <v>5000</v>
      </c>
      <c r="U6" t="n">
        <v>1</v>
      </c>
      <c r="V6" t="n">
        <v>0</v>
      </c>
      <c r="W6" t="n">
        <v>-1</v>
      </c>
      <c r="X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5</v>
      </c>
      <c r="AE6" t="n">
        <v>0</v>
      </c>
      <c r="AF6" t="n">
        <v>10000</v>
      </c>
      <c r="AG6" t="inlineStr">
        <is>
          <t>OrientRotationToCamera</t>
        </is>
      </c>
      <c r="AH6" t="n">
        <v>0</v>
      </c>
      <c r="AJ6" t="n">
        <v>0</v>
      </c>
      <c r="AK6" t="n">
        <v>0</v>
      </c>
      <c r="AL6" t="n">
        <v>-1</v>
      </c>
      <c r="AM6" t="n">
        <v>1000</v>
      </c>
      <c r="AN6" t="n">
        <v>-1</v>
      </c>
      <c r="AO6" t="n">
        <v>0</v>
      </c>
      <c r="AP6" t="n">
        <v>800</v>
      </c>
      <c r="AQ6" t="n">
        <v>0</v>
      </c>
      <c r="AR6" t="n">
        <v>0</v>
      </c>
      <c r="AS6" t="n">
        <v>0</v>
      </c>
      <c r="AV6" t="n">
        <v>0</v>
      </c>
      <c r="AW6" t="n">
        <v>1001201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-1</v>
      </c>
      <c r="BH6" t="n">
        <v>-1</v>
      </c>
      <c r="BI6" t="inlineStr">
        <is>
          <t>Superarmor</t>
        </is>
      </c>
      <c r="BJ6" t="n">
        <v>-1</v>
      </c>
      <c r="BK6" t="n">
        <v>-1</v>
      </c>
      <c r="BL6" t="n">
        <v>-1</v>
      </c>
      <c r="BM6" t="inlineStr">
        <is>
          <t>Crosshair</t>
        </is>
      </c>
      <c r="BN6" t="n">
        <v>-1</v>
      </c>
      <c r="BO6" t="n">
        <v>1000</v>
      </c>
      <c r="BP6" t="n">
        <v>90</v>
      </c>
      <c r="BQ6" t="n">
        <v>15000</v>
      </c>
      <c r="BR6" t="n">
        <v>-1</v>
      </c>
      <c r="BS6" t="n">
        <v>-1</v>
      </c>
      <c r="BT6" t="n">
        <v>-1</v>
      </c>
      <c r="BW6" t="n">
        <v>0</v>
      </c>
      <c r="BX6" t="inlineStr">
        <is>
          <t>prydwen_skill_charge_shield</t>
        </is>
      </c>
      <c r="BZ6" t="n">
        <v>-1</v>
      </c>
      <c r="CA6" t="n">
        <v>0</v>
      </c>
    </row>
    <row r="7">
      <c r="A7" t="n">
        <v>100130</v>
      </c>
      <c r="B7" t="inlineStr">
        <is>
          <t>프리드웬_통각차단</t>
        </is>
      </c>
      <c r="C7" t="inlineStr">
        <is>
          <t>프리드웬_통각차단</t>
        </is>
      </c>
      <c r="D7" t="inlineStr">
        <is>
          <t>Ultimate</t>
        </is>
      </c>
      <c r="E7" t="n">
        <v>100130</v>
      </c>
      <c r="F7">
        <f>Skill[[#This Row],[skill_ui_type]]&amp;"_"&amp;"Name_"&amp;Skill[[#This Row],[skill_group_id]]</f>
        <v/>
      </c>
      <c r="G7">
        <f>Skill[[#This Row],[skill_ui_type]]&amp;"_"&amp;"Desc_"&amp;Skill[[#This Row],[skill_group_id]]</f>
        <v/>
      </c>
      <c r="H7" s="17" t="inlineStr">
        <is>
          <t>icon_skill_active_vanguard_03</t>
        </is>
      </c>
      <c r="I7" t="n">
        <v>100130</v>
      </c>
      <c r="J7" t="inlineStr">
        <is>
          <t>Test</t>
        </is>
      </c>
      <c r="K7" t="inlineStr">
        <is>
          <t>Normal</t>
        </is>
      </c>
      <c r="L7" t="inlineStr">
        <is>
          <t>None</t>
        </is>
      </c>
      <c r="M7" t="inlineStr">
        <is>
          <t>None</t>
        </is>
      </c>
      <c r="N7" t="n">
        <v>0</v>
      </c>
      <c r="O7" t="n">
        <v>-1</v>
      </c>
      <c r="P7" t="n">
        <v>-1</v>
      </c>
      <c r="Q7" t="n">
        <v>-1</v>
      </c>
      <c r="R7" t="n">
        <v>-1</v>
      </c>
      <c r="S7" t="n">
        <v>0</v>
      </c>
      <c r="T7" t="n">
        <v>1000</v>
      </c>
      <c r="U7" t="n">
        <v>1</v>
      </c>
      <c r="V7" t="n">
        <v>0</v>
      </c>
      <c r="W7" t="n">
        <v>-1</v>
      </c>
      <c r="X7" t="n">
        <v>0</v>
      </c>
      <c r="Y7" t="inlineStr">
        <is>
          <t>Ulti</t>
        </is>
      </c>
      <c r="Z7" t="n">
        <v>-32767</v>
      </c>
      <c r="AA7" t="n">
        <v>0</v>
      </c>
      <c r="AB7" t="n">
        <v>0</v>
      </c>
      <c r="AC7" t="n">
        <v>6</v>
      </c>
      <c r="AD7" t="n">
        <v>7</v>
      </c>
      <c r="AE7" t="n">
        <v>0</v>
      </c>
      <c r="AF7" t="n">
        <v>10000</v>
      </c>
      <c r="AG7" t="inlineStr">
        <is>
          <t>None</t>
        </is>
      </c>
      <c r="AH7" t="n">
        <v>1</v>
      </c>
      <c r="AI7" t="inlineStr">
        <is>
          <t>Aero</t>
        </is>
      </c>
      <c r="AJ7" t="n">
        <v>0</v>
      </c>
      <c r="AK7" t="n">
        <v>0</v>
      </c>
      <c r="AL7" t="n">
        <v>-1</v>
      </c>
      <c r="AM7" t="n">
        <v>1400</v>
      </c>
      <c r="AN7" t="n">
        <v>-1</v>
      </c>
      <c r="AO7" t="n">
        <v>0</v>
      </c>
      <c r="AP7" t="n">
        <v>500</v>
      </c>
      <c r="AQ7" t="n">
        <v>0</v>
      </c>
      <c r="AR7" t="n">
        <v>0</v>
      </c>
      <c r="AS7" t="n">
        <v>0</v>
      </c>
      <c r="AV7" t="n">
        <v>500</v>
      </c>
      <c r="AW7" t="n">
        <v>1001301</v>
      </c>
      <c r="AX7" t="n">
        <v>500</v>
      </c>
      <c r="AY7" t="n">
        <v>1001302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-1</v>
      </c>
      <c r="BH7" t="n">
        <v>-1</v>
      </c>
      <c r="BI7" t="inlineStr">
        <is>
          <t>Superarmor</t>
        </is>
      </c>
      <c r="BJ7" t="n">
        <v>-1</v>
      </c>
      <c r="BK7" t="n">
        <v>-1</v>
      </c>
      <c r="BL7" t="n">
        <v>-1</v>
      </c>
      <c r="BM7" t="inlineStr">
        <is>
          <t>None</t>
        </is>
      </c>
      <c r="BN7" t="n">
        <v>-1</v>
      </c>
      <c r="BO7" t="n">
        <v>-1</v>
      </c>
      <c r="BP7" t="n">
        <v>0</v>
      </c>
      <c r="BQ7" t="n">
        <v>0</v>
      </c>
      <c r="BR7" t="n">
        <v>-1</v>
      </c>
      <c r="BS7" t="n">
        <v>-1</v>
      </c>
      <c r="BT7" t="n">
        <v>-1</v>
      </c>
      <c r="BW7" t="n">
        <v>0</v>
      </c>
      <c r="BX7" t="inlineStr">
        <is>
          <t>prydwen_skill_painkiller</t>
        </is>
      </c>
      <c r="BZ7" t="n">
        <v>-1</v>
      </c>
      <c r="CA7" t="n">
        <v>0</v>
      </c>
    </row>
    <row r="8">
      <c r="A8" t="n">
        <v>200110</v>
      </c>
      <c r="B8" t="inlineStr">
        <is>
          <t>카야_전투자극제</t>
        </is>
      </c>
      <c r="C8" t="inlineStr">
        <is>
          <t>카야_전투자극제</t>
        </is>
      </c>
      <c r="D8" t="inlineStr">
        <is>
          <t>Active</t>
        </is>
      </c>
      <c r="E8" t="n">
        <v>200110</v>
      </c>
      <c r="F8">
        <f>Skill[[#This Row],[skill_ui_type]]&amp;"_"&amp;"Name_"&amp;Skill[[#This Row],[skill_group_id]]</f>
        <v/>
      </c>
      <c r="G8">
        <f>Skill[[#This Row],[skill_ui_type]]&amp;"_"&amp;"Desc_"&amp;Skill[[#This Row],[skill_group_id]]</f>
        <v/>
      </c>
      <c r="H8" s="17" t="inlineStr">
        <is>
          <t>icon_skill_active_striker_01</t>
        </is>
      </c>
      <c r="I8" t="n">
        <v>200110</v>
      </c>
      <c r="J8" t="inlineStr">
        <is>
          <t>Test</t>
        </is>
      </c>
      <c r="K8" t="inlineStr">
        <is>
          <t>NoMotion</t>
        </is>
      </c>
      <c r="L8" t="inlineStr">
        <is>
          <t>None</t>
        </is>
      </c>
      <c r="M8" t="inlineStr">
        <is>
          <t>None</t>
        </is>
      </c>
      <c r="N8" t="n">
        <v>0</v>
      </c>
      <c r="O8" t="n">
        <v>-1</v>
      </c>
      <c r="P8" t="n">
        <v>-1</v>
      </c>
      <c r="Q8" t="n">
        <v>-1</v>
      </c>
      <c r="R8" t="n">
        <v>-1</v>
      </c>
      <c r="S8" t="n">
        <v>0</v>
      </c>
      <c r="T8" t="n">
        <v>13000</v>
      </c>
      <c r="U8" t="n">
        <v>1</v>
      </c>
      <c r="V8" t="n">
        <v>0</v>
      </c>
      <c r="W8" t="n">
        <v>-1</v>
      </c>
      <c r="X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5</v>
      </c>
      <c r="AE8" t="n">
        <v>10000</v>
      </c>
      <c r="AF8" t="n">
        <v>10000</v>
      </c>
      <c r="AG8" t="inlineStr">
        <is>
          <t>None</t>
        </is>
      </c>
      <c r="AH8" t="n">
        <v>1</v>
      </c>
      <c r="AI8" t="inlineStr">
        <is>
          <t>Aero</t>
        </is>
      </c>
      <c r="AJ8" t="n">
        <v>0</v>
      </c>
      <c r="AK8" t="n">
        <v>0</v>
      </c>
      <c r="AL8" t="n">
        <v>-1</v>
      </c>
      <c r="AM8" t="n">
        <v>100</v>
      </c>
      <c r="AN8" t="n">
        <v>-1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V8" t="n">
        <v>0</v>
      </c>
      <c r="AW8" t="n">
        <v>2001101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inlineStr">
        <is>
          <t>Superarmor</t>
        </is>
      </c>
      <c r="BJ8" t="n">
        <v>-1</v>
      </c>
      <c r="BK8" t="n">
        <v>-1</v>
      </c>
      <c r="BL8" t="n">
        <v>-1</v>
      </c>
      <c r="BM8" t="inlineStr">
        <is>
          <t>None</t>
        </is>
      </c>
      <c r="BN8" t="n">
        <v>-1</v>
      </c>
      <c r="BO8" t="n">
        <v>-1</v>
      </c>
      <c r="BP8" t="n">
        <v>0</v>
      </c>
      <c r="BQ8" t="n">
        <v>0</v>
      </c>
      <c r="BR8" t="n">
        <v>-1</v>
      </c>
      <c r="BS8" t="n">
        <v>-1</v>
      </c>
      <c r="BT8" t="n">
        <v>-1</v>
      </c>
      <c r="BW8" t="n">
        <v>0</v>
      </c>
      <c r="BX8" t="inlineStr">
        <is>
          <t>kaya_skill_stimpack</t>
        </is>
      </c>
      <c r="BZ8" t="n">
        <v>-1</v>
      </c>
      <c r="CA8" t="n">
        <v>0</v>
      </c>
    </row>
    <row r="9">
      <c r="A9" t="n">
        <v>200111</v>
      </c>
      <c r="B9" t="inlineStr">
        <is>
          <t>카야_전투자극제_스프레이</t>
        </is>
      </c>
      <c r="C9" t="inlineStr">
        <is>
          <t>카야_전투자극제_스프레이</t>
        </is>
      </c>
      <c r="D9" t="inlineStr">
        <is>
          <t>Active</t>
        </is>
      </c>
      <c r="E9" t="n">
        <v>200110</v>
      </c>
      <c r="F9">
        <f>Skill[[#This Row],[skill_ui_type]]&amp;"_"&amp;"Name_"&amp;Skill[[#This Row],[skill_group_id]]</f>
        <v/>
      </c>
      <c r="G9">
        <f>Skill[[#This Row],[skill_ui_type]]&amp;"_"&amp;"Desc_"&amp;Skill[[#This Row],[skill_group_id]]</f>
        <v/>
      </c>
      <c r="H9" s="17" t="inlineStr">
        <is>
          <t>icon_skill_active_striker_01</t>
        </is>
      </c>
      <c r="I9" t="n">
        <v>200110</v>
      </c>
      <c r="J9" t="inlineStr">
        <is>
          <t>Test</t>
        </is>
      </c>
      <c r="K9" t="inlineStr">
        <is>
          <t>NoMotion</t>
        </is>
      </c>
      <c r="L9" t="inlineStr">
        <is>
          <t>None</t>
        </is>
      </c>
      <c r="M9" t="inlineStr">
        <is>
          <t>None</t>
        </is>
      </c>
      <c r="N9" t="n">
        <v>0</v>
      </c>
      <c r="O9" t="n">
        <v>-1</v>
      </c>
      <c r="P9" t="n">
        <v>-1</v>
      </c>
      <c r="Q9" t="n">
        <v>-1</v>
      </c>
      <c r="R9" t="n">
        <v>-1</v>
      </c>
      <c r="S9" t="n">
        <v>0</v>
      </c>
      <c r="T9" t="n">
        <v>13000</v>
      </c>
      <c r="U9" t="n">
        <v>1</v>
      </c>
      <c r="V9" t="n">
        <v>0</v>
      </c>
      <c r="W9" t="n">
        <v>-1</v>
      </c>
      <c r="X9" t="n">
        <v>0</v>
      </c>
      <c r="Z9" t="n">
        <v>0</v>
      </c>
      <c r="AA9" t="n">
        <v>0</v>
      </c>
      <c r="AB9" t="n">
        <v>0</v>
      </c>
      <c r="AC9" t="n">
        <v>4</v>
      </c>
      <c r="AD9" t="n">
        <v>5</v>
      </c>
      <c r="AE9" t="n">
        <v>10000</v>
      </c>
      <c r="AF9" t="n">
        <v>10000</v>
      </c>
      <c r="AG9" t="inlineStr">
        <is>
          <t>None</t>
        </is>
      </c>
      <c r="AH9" t="n">
        <v>1</v>
      </c>
      <c r="AI9" t="inlineStr">
        <is>
          <t>Aero</t>
        </is>
      </c>
      <c r="AJ9" t="n">
        <v>0</v>
      </c>
      <c r="AK9" t="n">
        <v>0</v>
      </c>
      <c r="AL9" t="n">
        <v>-1</v>
      </c>
      <c r="AM9" t="n">
        <v>100</v>
      </c>
      <c r="AN9" t="n">
        <v>-1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V9" t="n">
        <v>0</v>
      </c>
      <c r="AW9" t="n">
        <v>2001101</v>
      </c>
      <c r="AX9" t="n">
        <v>0</v>
      </c>
      <c r="AY9" t="n">
        <v>2001102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-1</v>
      </c>
      <c r="BH9" t="n">
        <v>-1</v>
      </c>
      <c r="BI9" t="inlineStr">
        <is>
          <t>Superarmor</t>
        </is>
      </c>
      <c r="BJ9" t="n">
        <v>-1</v>
      </c>
      <c r="BK9" t="n">
        <v>-1</v>
      </c>
      <c r="BL9" t="n">
        <v>-1</v>
      </c>
      <c r="BM9" t="inlineStr">
        <is>
          <t>None</t>
        </is>
      </c>
      <c r="BN9" t="n">
        <v>-1</v>
      </c>
      <c r="BO9" t="n">
        <v>-1</v>
      </c>
      <c r="BP9" t="n">
        <v>0</v>
      </c>
      <c r="BQ9" t="n">
        <v>0</v>
      </c>
      <c r="BR9" t="n">
        <v>-1</v>
      </c>
      <c r="BS9" t="n">
        <v>-1</v>
      </c>
      <c r="BT9" t="n">
        <v>-1</v>
      </c>
      <c r="BW9" t="n">
        <v>0</v>
      </c>
      <c r="BX9" t="inlineStr">
        <is>
          <t>kaya_skill_stimpack</t>
        </is>
      </c>
      <c r="BZ9" t="n">
        <v>-1</v>
      </c>
      <c r="CA9" t="n">
        <v>0</v>
      </c>
    </row>
    <row r="10">
      <c r="A10" t="n">
        <v>200120</v>
      </c>
      <c r="B10" t="inlineStr">
        <is>
          <t>카야_전술기동</t>
        </is>
      </c>
      <c r="C10" t="inlineStr">
        <is>
          <t>카야_전술기동</t>
        </is>
      </c>
      <c r="D10" t="inlineStr">
        <is>
          <t>Active</t>
        </is>
      </c>
      <c r="E10" t="n">
        <v>200120</v>
      </c>
      <c r="F10">
        <f>Skill[[#This Row],[skill_ui_type]]&amp;"_"&amp;"Name_"&amp;Skill[[#This Row],[skill_group_id]]</f>
        <v/>
      </c>
      <c r="G10">
        <f>Skill[[#This Row],[skill_ui_type]]&amp;"_"&amp;"Desc_"&amp;Skill[[#This Row],[skill_group_id]]</f>
        <v/>
      </c>
      <c r="H10" s="17" t="inlineStr">
        <is>
          <t>icon_skill_active_striker_02</t>
        </is>
      </c>
      <c r="I10" t="n">
        <v>200120</v>
      </c>
      <c r="J10" t="inlineStr">
        <is>
          <t>Test</t>
        </is>
      </c>
      <c r="K10" t="inlineStr">
        <is>
          <t>Normal</t>
        </is>
      </c>
      <c r="L10" t="inlineStr">
        <is>
          <t>None</t>
        </is>
      </c>
      <c r="M10" t="inlineStr">
        <is>
          <t>None</t>
        </is>
      </c>
      <c r="N10" t="n">
        <v>1</v>
      </c>
      <c r="O10" t="n">
        <v>-1</v>
      </c>
      <c r="P10" t="n">
        <v>-1</v>
      </c>
      <c r="Q10" t="n">
        <v>-1</v>
      </c>
      <c r="R10" t="n">
        <v>-1</v>
      </c>
      <c r="S10" t="n">
        <v>0</v>
      </c>
      <c r="T10" t="n">
        <v>10000</v>
      </c>
      <c r="U10" t="n">
        <v>2</v>
      </c>
      <c r="V10" t="n">
        <v>0</v>
      </c>
      <c r="W10" t="n">
        <v>-1</v>
      </c>
      <c r="X10" t="n">
        <v>0</v>
      </c>
      <c r="Z10" t="n">
        <v>0</v>
      </c>
      <c r="AA10" t="n">
        <v>0</v>
      </c>
      <c r="AB10" t="n">
        <v>0</v>
      </c>
      <c r="AC10" t="n">
        <v>4</v>
      </c>
      <c r="AD10" t="n">
        <v>5</v>
      </c>
      <c r="AE10" t="n">
        <v>0</v>
      </c>
      <c r="AF10" t="n">
        <v>0</v>
      </c>
      <c r="AG10" t="inlineStr">
        <is>
          <t>OrientRotationToMovement</t>
        </is>
      </c>
      <c r="AH10" t="n">
        <v>0</v>
      </c>
      <c r="AJ10" t="n">
        <v>0</v>
      </c>
      <c r="AK10" t="n">
        <v>0</v>
      </c>
      <c r="AL10" t="n">
        <v>-1</v>
      </c>
      <c r="AM10" t="n">
        <v>500</v>
      </c>
      <c r="AN10" t="n">
        <v>-1</v>
      </c>
      <c r="AO10" t="n">
        <v>0</v>
      </c>
      <c r="AP10" t="n">
        <v>300</v>
      </c>
      <c r="AQ10" t="n">
        <v>0</v>
      </c>
      <c r="AR10" t="n">
        <v>0</v>
      </c>
      <c r="AS10" t="n">
        <v>0</v>
      </c>
      <c r="AV10" t="n">
        <v>380</v>
      </c>
      <c r="AW10" t="n">
        <v>2001201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-1</v>
      </c>
      <c r="BH10" t="n">
        <v>-1</v>
      </c>
      <c r="BI10" t="inlineStr">
        <is>
          <t>Superarmor</t>
        </is>
      </c>
      <c r="BJ10" t="n">
        <v>-1</v>
      </c>
      <c r="BK10" t="n">
        <v>-1</v>
      </c>
      <c r="BL10" t="n">
        <v>-1</v>
      </c>
      <c r="BM10" t="inlineStr">
        <is>
          <t>Input</t>
        </is>
      </c>
      <c r="BN10" t="n">
        <v>-1</v>
      </c>
      <c r="BO10" t="n">
        <v>-1</v>
      </c>
      <c r="BP10" t="n">
        <v>0</v>
      </c>
      <c r="BQ10" t="n">
        <v>0</v>
      </c>
      <c r="BR10" t="n">
        <v>-1</v>
      </c>
      <c r="BS10" t="n">
        <v>-1</v>
      </c>
      <c r="BT10" t="n">
        <v>-1</v>
      </c>
      <c r="BW10" t="n">
        <v>0</v>
      </c>
      <c r="BX10" t="inlineStr">
        <is>
          <t>kaya_skill_tacticalrush</t>
        </is>
      </c>
      <c r="BZ10" t="n">
        <v>-1</v>
      </c>
      <c r="CA10" t="n">
        <v>1</v>
      </c>
    </row>
    <row r="11">
      <c r="A11" t="n">
        <v>200130</v>
      </c>
      <c r="B11" t="inlineStr">
        <is>
          <t>카야_대전차로켓</t>
        </is>
      </c>
      <c r="C11" t="inlineStr">
        <is>
          <t>카야_대전차로켓</t>
        </is>
      </c>
      <c r="D11" t="inlineStr">
        <is>
          <t>Ultimate</t>
        </is>
      </c>
      <c r="E11" t="n">
        <v>200130</v>
      </c>
      <c r="F11">
        <f>Skill[[#This Row],[skill_ui_type]]&amp;"_"&amp;"Name_"&amp;Skill[[#This Row],[skill_group_id]]</f>
        <v/>
      </c>
      <c r="G11">
        <f>Skill[[#This Row],[skill_ui_type]]&amp;"_"&amp;"Desc_"&amp;Skill[[#This Row],[skill_group_id]]</f>
        <v/>
      </c>
      <c r="H11" s="17" t="inlineStr">
        <is>
          <t>icon_skill_active_striker_03</t>
        </is>
      </c>
      <c r="I11" t="n">
        <v>200130</v>
      </c>
      <c r="J11" t="inlineStr">
        <is>
          <t>Test</t>
        </is>
      </c>
      <c r="K11" t="inlineStr">
        <is>
          <t>SkillWeapon</t>
        </is>
      </c>
      <c r="L11" t="inlineStr">
        <is>
          <t>Launcher</t>
        </is>
      </c>
      <c r="M11" t="inlineStr">
        <is>
          <t>None</t>
        </is>
      </c>
      <c r="N11" t="n">
        <v>0</v>
      </c>
      <c r="O11" t="n">
        <v>-1</v>
      </c>
      <c r="P11" t="n">
        <v>-1</v>
      </c>
      <c r="Q11" t="n">
        <v>-1</v>
      </c>
      <c r="R11" t="n">
        <v>-1</v>
      </c>
      <c r="S11" t="n">
        <v>0</v>
      </c>
      <c r="T11" t="n">
        <v>3000</v>
      </c>
      <c r="U11" t="n">
        <v>1</v>
      </c>
      <c r="V11" t="n">
        <v>0</v>
      </c>
      <c r="W11" t="n">
        <v>-1</v>
      </c>
      <c r="X11" t="n">
        <v>0</v>
      </c>
      <c r="Y11" t="inlineStr">
        <is>
          <t>Ulti</t>
        </is>
      </c>
      <c r="Z11" t="n">
        <v>-32767</v>
      </c>
      <c r="AA11" t="n">
        <v>0</v>
      </c>
      <c r="AB11" t="n">
        <v>0</v>
      </c>
      <c r="AC11" t="n">
        <v>6</v>
      </c>
      <c r="AD11" t="n">
        <v>7</v>
      </c>
      <c r="AE11" t="n">
        <v>10000</v>
      </c>
      <c r="AF11" t="n">
        <v>10000</v>
      </c>
      <c r="AG11" t="inlineStr">
        <is>
          <t>None</t>
        </is>
      </c>
      <c r="AH11" t="n">
        <v>0</v>
      </c>
      <c r="AI11" t="inlineStr">
        <is>
          <t>Aero</t>
        </is>
      </c>
      <c r="AJ11" t="n">
        <v>0</v>
      </c>
      <c r="AK11" t="n">
        <v>0</v>
      </c>
      <c r="AL11" t="n">
        <v>-1</v>
      </c>
      <c r="AM11" t="n">
        <v>800</v>
      </c>
      <c r="AN11" t="n">
        <v>-1</v>
      </c>
      <c r="AO11" t="n">
        <v>0</v>
      </c>
      <c r="AP11" t="n">
        <v>800</v>
      </c>
      <c r="AQ11" t="n">
        <v>0</v>
      </c>
      <c r="AR11" t="n">
        <v>0</v>
      </c>
      <c r="AS11" t="n">
        <v>0</v>
      </c>
      <c r="AV11" t="n">
        <v>0</v>
      </c>
      <c r="AW11" t="n">
        <v>2001301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-1</v>
      </c>
      <c r="BH11" t="n">
        <v>-1</v>
      </c>
      <c r="BI11" t="inlineStr">
        <is>
          <t>Superarmor</t>
        </is>
      </c>
      <c r="BJ11" t="n">
        <v>-1</v>
      </c>
      <c r="BK11" t="n">
        <v>-1</v>
      </c>
      <c r="BL11" t="n">
        <v>-1</v>
      </c>
      <c r="BM11" t="inlineStr">
        <is>
          <t>Crosshair</t>
        </is>
      </c>
      <c r="BN11" t="n">
        <v>-1</v>
      </c>
      <c r="BO11" t="n">
        <v>-1</v>
      </c>
      <c r="BP11" t="n">
        <v>0</v>
      </c>
      <c r="BQ11" t="n">
        <v>0</v>
      </c>
      <c r="BR11" t="n">
        <v>-1</v>
      </c>
      <c r="BS11" t="n">
        <v>-1</v>
      </c>
      <c r="BT11" t="n">
        <v>-1</v>
      </c>
      <c r="BW11" t="n">
        <v>0</v>
      </c>
      <c r="BX11" t="inlineStr">
        <is>
          <t>kaya_skill_rocket_draw</t>
        </is>
      </c>
      <c r="BZ11" t="n">
        <v>-1</v>
      </c>
      <c r="CA11" t="n">
        <v>0</v>
      </c>
    </row>
    <row r="12">
      <c r="A12" t="n">
        <v>300110</v>
      </c>
      <c r="B12" t="inlineStr">
        <is>
          <t>엔젤_오프라인</t>
        </is>
      </c>
      <c r="C12" t="inlineStr">
        <is>
          <t>엔젤_오프라인</t>
        </is>
      </c>
      <c r="D12" t="inlineStr">
        <is>
          <t>Active</t>
        </is>
      </c>
      <c r="E12" t="n">
        <v>300110</v>
      </c>
      <c r="F12">
        <f>Skill[[#This Row],[skill_ui_type]]&amp;"_"&amp;"Name_"&amp;Skill[[#This Row],[skill_group_id]]</f>
        <v/>
      </c>
      <c r="G12">
        <f>Skill[[#This Row],[skill_ui_type]]&amp;"_"&amp;"Desc_"&amp;Skill[[#This Row],[skill_group_id]]</f>
        <v/>
      </c>
      <c r="H12" s="17" t="inlineStr">
        <is>
          <t>icon_skill_active_agent_01</t>
        </is>
      </c>
      <c r="I12" t="n">
        <v>300110</v>
      </c>
      <c r="J12" t="inlineStr">
        <is>
          <t>Test</t>
        </is>
      </c>
      <c r="K12" t="inlineStr">
        <is>
          <t>Normal</t>
        </is>
      </c>
      <c r="L12" t="inlineStr">
        <is>
          <t>None</t>
        </is>
      </c>
      <c r="M12" t="inlineStr">
        <is>
          <t>None</t>
        </is>
      </c>
      <c r="N12" t="n">
        <v>0</v>
      </c>
      <c r="O12" t="n">
        <v>-1</v>
      </c>
      <c r="P12" t="n">
        <v>-1</v>
      </c>
      <c r="Q12" t="n">
        <v>-1</v>
      </c>
      <c r="R12" t="n">
        <v>-1</v>
      </c>
      <c r="S12" t="n">
        <v>0</v>
      </c>
      <c r="T12" t="n">
        <v>7000</v>
      </c>
      <c r="U12" t="n">
        <v>1</v>
      </c>
      <c r="V12" t="n">
        <v>0</v>
      </c>
      <c r="W12" t="n">
        <v>-1</v>
      </c>
      <c r="X12" t="n">
        <v>0</v>
      </c>
      <c r="Z12" t="n">
        <v>0</v>
      </c>
      <c r="AA12" t="n">
        <v>0</v>
      </c>
      <c r="AB12" t="n">
        <v>0</v>
      </c>
      <c r="AC12" t="n">
        <v>4</v>
      </c>
      <c r="AD12" t="n">
        <v>5</v>
      </c>
      <c r="AE12" t="n">
        <v>10000</v>
      </c>
      <c r="AF12" t="n">
        <v>10000</v>
      </c>
      <c r="AG12" t="inlineStr">
        <is>
          <t>None</t>
        </is>
      </c>
      <c r="AH12" t="n">
        <v>0</v>
      </c>
      <c r="AJ12" t="n">
        <v>0</v>
      </c>
      <c r="AK12" t="n">
        <v>0</v>
      </c>
      <c r="AL12" t="n">
        <v>-1</v>
      </c>
      <c r="AM12" t="n">
        <v>500</v>
      </c>
      <c r="AN12" t="n">
        <v>-1</v>
      </c>
      <c r="AO12" t="n">
        <v>0</v>
      </c>
      <c r="AP12" t="n">
        <v>400</v>
      </c>
      <c r="AQ12" t="n">
        <v>0</v>
      </c>
      <c r="AR12" t="n">
        <v>0</v>
      </c>
      <c r="AS12" t="n">
        <v>0</v>
      </c>
      <c r="AV12" t="n">
        <v>0</v>
      </c>
      <c r="AW12" t="n">
        <v>3001101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-1</v>
      </c>
      <c r="BH12" t="n">
        <v>-1</v>
      </c>
      <c r="BI12" t="inlineStr">
        <is>
          <t>Superarmor</t>
        </is>
      </c>
      <c r="BJ12" t="n">
        <v>-1</v>
      </c>
      <c r="BK12" t="n">
        <v>-1</v>
      </c>
      <c r="BL12" t="n">
        <v>-1</v>
      </c>
      <c r="BM12" t="inlineStr">
        <is>
          <t>Crosshair</t>
        </is>
      </c>
      <c r="BN12" t="n">
        <v>-1</v>
      </c>
      <c r="BO12" t="n">
        <v>-1</v>
      </c>
      <c r="BP12" t="n">
        <v>0</v>
      </c>
      <c r="BQ12" t="n">
        <v>0</v>
      </c>
      <c r="BR12" t="n">
        <v>-1</v>
      </c>
      <c r="BS12" t="n">
        <v>-1</v>
      </c>
      <c r="BT12" t="n">
        <v>-1</v>
      </c>
      <c r="BW12" t="n">
        <v>0</v>
      </c>
      <c r="BX12" t="inlineStr">
        <is>
          <t>angel_skill_offline</t>
        </is>
      </c>
      <c r="BZ12" t="n">
        <v>-1</v>
      </c>
      <c r="CA12" t="n">
        <v>0</v>
      </c>
    </row>
    <row r="13">
      <c r="A13" t="n">
        <v>300111</v>
      </c>
      <c r="B13" t="inlineStr">
        <is>
          <t>엔젤_오프라인_공격</t>
        </is>
      </c>
      <c r="C13" t="inlineStr">
        <is>
          <t>엔젤_오프라인_공격</t>
        </is>
      </c>
      <c r="D13" t="inlineStr">
        <is>
          <t>Active</t>
        </is>
      </c>
      <c r="E13" t="n">
        <v>300110</v>
      </c>
      <c r="F13">
        <f>Skill[[#This Row],[skill_ui_type]]&amp;"_"&amp;"Name_"&amp;Skill[[#This Row],[skill_group_id]]</f>
        <v/>
      </c>
      <c r="G13">
        <f>Skill[[#This Row],[skill_ui_type]]&amp;"_"&amp;"Desc_"&amp;Skill[[#This Row],[skill_group_id]]</f>
        <v/>
      </c>
      <c r="H13" s="17" t="inlineStr">
        <is>
          <t>icon_skill_active_agent_01</t>
        </is>
      </c>
      <c r="I13" t="n">
        <v>300110</v>
      </c>
      <c r="J13" t="inlineStr">
        <is>
          <t>Test</t>
        </is>
      </c>
      <c r="K13" t="inlineStr">
        <is>
          <t>SingleUseSkillWeapon</t>
        </is>
      </c>
      <c r="L13" t="inlineStr">
        <is>
          <t>None</t>
        </is>
      </c>
      <c r="M13" t="inlineStr">
        <is>
          <t>None</t>
        </is>
      </c>
      <c r="N13" t="n">
        <v>0</v>
      </c>
      <c r="O13" t="n">
        <v>-1</v>
      </c>
      <c r="P13" t="n">
        <v>-1</v>
      </c>
      <c r="Q13" t="n">
        <v>-1</v>
      </c>
      <c r="R13" t="n">
        <v>-1</v>
      </c>
      <c r="S13" t="n">
        <v>0</v>
      </c>
      <c r="T13" t="n">
        <v>1000</v>
      </c>
      <c r="U13" t="n">
        <v>1</v>
      </c>
      <c r="V13" t="n">
        <v>0</v>
      </c>
      <c r="W13" t="n">
        <v>-1</v>
      </c>
      <c r="X13" t="n">
        <v>0</v>
      </c>
      <c r="Z13" t="n">
        <v>0</v>
      </c>
      <c r="AA13" t="n">
        <v>0</v>
      </c>
      <c r="AB13" t="n">
        <v>0</v>
      </c>
      <c r="AC13" t="n">
        <v>4</v>
      </c>
      <c r="AD13" t="n">
        <v>5</v>
      </c>
      <c r="AE13" t="n">
        <v>0</v>
      </c>
      <c r="AF13" t="n">
        <v>10000</v>
      </c>
      <c r="AG13" t="inlineStr">
        <is>
          <t>OrientRotationToCamera</t>
        </is>
      </c>
      <c r="AH13" t="n">
        <v>0</v>
      </c>
      <c r="AJ13" t="n">
        <v>0</v>
      </c>
      <c r="AK13" t="n">
        <v>0</v>
      </c>
      <c r="AL13" t="n">
        <v>-1</v>
      </c>
      <c r="AM13" t="n">
        <v>500</v>
      </c>
      <c r="AN13" t="n">
        <v>-1</v>
      </c>
      <c r="AO13" t="n">
        <v>0</v>
      </c>
      <c r="AP13" t="n">
        <v>400</v>
      </c>
      <c r="AQ13" t="n">
        <v>0</v>
      </c>
      <c r="AR13" t="n">
        <v>0</v>
      </c>
      <c r="AS13" t="n">
        <v>0</v>
      </c>
      <c r="AV13" t="n">
        <v>0</v>
      </c>
      <c r="AW13" t="n">
        <v>3001111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-1</v>
      </c>
      <c r="BH13" t="n">
        <v>-1</v>
      </c>
      <c r="BI13" t="inlineStr">
        <is>
          <t>Superarmor</t>
        </is>
      </c>
      <c r="BJ13" t="n">
        <v>-1</v>
      </c>
      <c r="BK13" t="n">
        <v>-1</v>
      </c>
      <c r="BL13" t="n">
        <v>-1</v>
      </c>
      <c r="BM13" t="inlineStr">
        <is>
          <t>Crosshair</t>
        </is>
      </c>
      <c r="BN13" t="n">
        <v>0</v>
      </c>
      <c r="BO13" t="n">
        <v>1000</v>
      </c>
      <c r="BP13" t="n">
        <v>90</v>
      </c>
      <c r="BQ13" t="n">
        <v>15000</v>
      </c>
      <c r="BR13" t="n">
        <v>-1</v>
      </c>
      <c r="BS13" t="n">
        <v>-1</v>
      </c>
      <c r="BT13" t="n">
        <v>-1</v>
      </c>
      <c r="BU13" t="inlineStr">
        <is>
          <t>angel_skill_offline_start</t>
        </is>
      </c>
      <c r="BV13" t="inlineStr">
        <is>
          <t>angel_skill_offline_aim</t>
        </is>
      </c>
      <c r="BW13" t="n">
        <v>0</v>
      </c>
      <c r="BX13" t="inlineStr">
        <is>
          <t>angel_skill_offline_fire</t>
        </is>
      </c>
      <c r="BZ13" t="n">
        <v>-1</v>
      </c>
      <c r="CA13" t="n">
        <v>0</v>
      </c>
    </row>
    <row r="14">
      <c r="A14" t="n">
        <v>300120</v>
      </c>
      <c r="B14" t="inlineStr">
        <is>
          <t>엔젤_증거인멸</t>
        </is>
      </c>
      <c r="C14" t="inlineStr">
        <is>
          <t>엔젤_증거인멸</t>
        </is>
      </c>
      <c r="D14" t="inlineStr">
        <is>
          <t>Active</t>
        </is>
      </c>
      <c r="E14" t="n">
        <v>300120</v>
      </c>
      <c r="F14">
        <f>Skill[[#This Row],[skill_ui_type]]&amp;"_"&amp;"Name_"&amp;Skill[[#This Row],[skill_group_id]]</f>
        <v/>
      </c>
      <c r="G14">
        <f>Skill[[#This Row],[skill_ui_type]]&amp;"_"&amp;"Desc_"&amp;Skill[[#This Row],[skill_group_id]]</f>
        <v/>
      </c>
      <c r="H14" s="17" t="inlineStr">
        <is>
          <t>icon_skill_active_agent_02</t>
        </is>
      </c>
      <c r="I14" t="n">
        <v>300120</v>
      </c>
      <c r="J14" t="inlineStr">
        <is>
          <t>Test</t>
        </is>
      </c>
      <c r="K14" t="inlineStr">
        <is>
          <t>Normal</t>
        </is>
      </c>
      <c r="L14" t="inlineStr">
        <is>
          <t>None</t>
        </is>
      </c>
      <c r="M14" t="inlineStr">
        <is>
          <t>None</t>
        </is>
      </c>
      <c r="N14" t="n">
        <v>0</v>
      </c>
      <c r="O14" t="n">
        <v>-1</v>
      </c>
      <c r="P14" t="n">
        <v>-1</v>
      </c>
      <c r="Q14" t="n">
        <v>-1</v>
      </c>
      <c r="R14" t="n">
        <v>-1</v>
      </c>
      <c r="S14" t="n">
        <v>0</v>
      </c>
      <c r="T14" t="n">
        <v>5000</v>
      </c>
      <c r="U14" t="n">
        <v>1</v>
      </c>
      <c r="V14" t="n">
        <v>0</v>
      </c>
      <c r="W14" t="n">
        <v>-1</v>
      </c>
      <c r="X14" t="n">
        <v>0</v>
      </c>
      <c r="Z14" t="n">
        <v>0</v>
      </c>
      <c r="AA14" t="n">
        <v>0</v>
      </c>
      <c r="AB14" t="n">
        <v>0</v>
      </c>
      <c r="AC14" t="n">
        <v>4</v>
      </c>
      <c r="AD14" t="n">
        <v>5</v>
      </c>
      <c r="AE14" t="n">
        <v>0</v>
      </c>
      <c r="AF14" t="n">
        <v>10000</v>
      </c>
      <c r="AG14" t="inlineStr">
        <is>
          <t>OrientRotationToCamera</t>
        </is>
      </c>
      <c r="AH14" t="n">
        <v>0</v>
      </c>
      <c r="AJ14" t="n">
        <v>0</v>
      </c>
      <c r="AK14" t="n">
        <v>0</v>
      </c>
      <c r="AL14" t="n">
        <v>-1</v>
      </c>
      <c r="AM14" t="n">
        <v>500</v>
      </c>
      <c r="AN14" t="n">
        <v>-1</v>
      </c>
      <c r="AO14" t="n">
        <v>0</v>
      </c>
      <c r="AP14" t="n">
        <v>400</v>
      </c>
      <c r="AQ14" t="n">
        <v>0</v>
      </c>
      <c r="AR14" t="n">
        <v>0</v>
      </c>
      <c r="AS14" t="n">
        <v>0</v>
      </c>
      <c r="AV14" t="n">
        <v>0</v>
      </c>
      <c r="AW14" t="n">
        <v>3001201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-1</v>
      </c>
      <c r="BH14" t="n">
        <v>-1</v>
      </c>
      <c r="BI14" t="inlineStr">
        <is>
          <t>Superarmor</t>
        </is>
      </c>
      <c r="BJ14" t="n">
        <v>-1</v>
      </c>
      <c r="BK14" t="n">
        <v>-1</v>
      </c>
      <c r="BL14" t="n">
        <v>-1</v>
      </c>
      <c r="BM14" t="inlineStr">
        <is>
          <t>Crosshair</t>
        </is>
      </c>
      <c r="BN14" t="n">
        <v>0</v>
      </c>
      <c r="BO14" t="n">
        <v>1000</v>
      </c>
      <c r="BP14" t="n">
        <v>90</v>
      </c>
      <c r="BQ14" t="n">
        <v>15000</v>
      </c>
      <c r="BR14" t="n">
        <v>-1</v>
      </c>
      <c r="BS14" t="n">
        <v>-1</v>
      </c>
      <c r="BT14" t="n">
        <v>-1</v>
      </c>
      <c r="BW14" t="n">
        <v>0</v>
      </c>
      <c r="BX14" t="inlineStr">
        <is>
          <t>angel_skill_evidencecleaner</t>
        </is>
      </c>
      <c r="BZ14" t="n">
        <v>-1</v>
      </c>
      <c r="CA14" t="n">
        <v>0</v>
      </c>
    </row>
    <row r="15">
      <c r="A15" t="n">
        <v>300130</v>
      </c>
      <c r="B15" t="inlineStr">
        <is>
          <t>엔젤_지명수배</t>
        </is>
      </c>
      <c r="C15" t="inlineStr">
        <is>
          <t>엔젤_지명수배</t>
        </is>
      </c>
      <c r="D15" t="inlineStr">
        <is>
          <t>Ultimate</t>
        </is>
      </c>
      <c r="E15" t="n">
        <v>300130</v>
      </c>
      <c r="F15">
        <f>Skill[[#This Row],[skill_ui_type]]&amp;"_"&amp;"Name_"&amp;Skill[[#This Row],[skill_group_id]]</f>
        <v/>
      </c>
      <c r="G15">
        <f>Skill[[#This Row],[skill_ui_type]]&amp;"_"&amp;"Desc_"&amp;Skill[[#This Row],[skill_group_id]]</f>
        <v/>
      </c>
      <c r="H15" s="17" t="inlineStr">
        <is>
          <t>icon_skill_active_agent_03</t>
        </is>
      </c>
      <c r="I15" t="n">
        <v>300130</v>
      </c>
      <c r="J15" t="inlineStr">
        <is>
          <t>Test</t>
        </is>
      </c>
      <c r="K15" t="inlineStr">
        <is>
          <t>SkillWeapon</t>
        </is>
      </c>
      <c r="L15" t="inlineStr">
        <is>
          <t>None</t>
        </is>
      </c>
      <c r="M15" t="inlineStr">
        <is>
          <t>None</t>
        </is>
      </c>
      <c r="N15" t="n">
        <v>0</v>
      </c>
      <c r="O15" t="n">
        <v>-1</v>
      </c>
      <c r="P15" t="n">
        <v>-1</v>
      </c>
      <c r="Q15" t="n">
        <v>-1</v>
      </c>
      <c r="R15" t="n">
        <v>-1</v>
      </c>
      <c r="S15" t="n">
        <v>0</v>
      </c>
      <c r="T15" t="n">
        <v>1000</v>
      </c>
      <c r="U15" t="n">
        <v>1</v>
      </c>
      <c r="V15" t="n">
        <v>0</v>
      </c>
      <c r="W15" t="n">
        <v>-1</v>
      </c>
      <c r="X15" t="n">
        <v>0</v>
      </c>
      <c r="Y15" t="inlineStr">
        <is>
          <t>Ulti</t>
        </is>
      </c>
      <c r="Z15" t="n">
        <v>-32767</v>
      </c>
      <c r="AA15" t="n">
        <v>0</v>
      </c>
      <c r="AB15" t="n">
        <v>0</v>
      </c>
      <c r="AC15" t="n">
        <v>6</v>
      </c>
      <c r="AD15" t="n">
        <v>7</v>
      </c>
      <c r="AE15" t="n">
        <v>0</v>
      </c>
      <c r="AF15" t="n">
        <v>10000</v>
      </c>
      <c r="AG15" t="inlineStr">
        <is>
          <t>OrientRotationToCamera</t>
        </is>
      </c>
      <c r="AH15" t="n">
        <v>0</v>
      </c>
      <c r="AJ15" t="n">
        <v>0</v>
      </c>
      <c r="AK15" t="n">
        <v>0</v>
      </c>
      <c r="AL15" t="n">
        <v>-1</v>
      </c>
      <c r="AM15" t="n">
        <v>2000</v>
      </c>
      <c r="AN15" t="n">
        <v>-1</v>
      </c>
      <c r="AO15" t="n">
        <v>0</v>
      </c>
      <c r="AP15" t="n">
        <v>1500</v>
      </c>
      <c r="AQ15" t="n">
        <v>0</v>
      </c>
      <c r="AR15" t="n">
        <v>0</v>
      </c>
      <c r="AS15" t="n">
        <v>0</v>
      </c>
      <c r="AV15" t="n">
        <v>0</v>
      </c>
      <c r="AW15" t="n">
        <v>3001301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-1</v>
      </c>
      <c r="BH15" t="n">
        <v>-1</v>
      </c>
      <c r="BI15" t="inlineStr">
        <is>
          <t>Superarmor</t>
        </is>
      </c>
      <c r="BJ15" t="n">
        <v>-1</v>
      </c>
      <c r="BK15" t="n">
        <v>-1</v>
      </c>
      <c r="BL15" t="n">
        <v>-1</v>
      </c>
      <c r="BM15" t="inlineStr">
        <is>
          <t>Crosshair</t>
        </is>
      </c>
      <c r="BN15" t="n">
        <v>-1</v>
      </c>
      <c r="BO15" t="n">
        <v>-1</v>
      </c>
      <c r="BP15" t="n">
        <v>0</v>
      </c>
      <c r="BQ15" t="n">
        <v>0</v>
      </c>
      <c r="BR15" t="n">
        <v>-1</v>
      </c>
      <c r="BS15" t="n">
        <v>-1</v>
      </c>
      <c r="BT15" t="n">
        <v>-1</v>
      </c>
      <c r="BW15" t="n">
        <v>0</v>
      </c>
      <c r="BX15" t="inlineStr">
        <is>
          <t>angel_skill_wanted_draw</t>
        </is>
      </c>
      <c r="BZ15" t="n">
        <v>-1</v>
      </c>
      <c r="CA15" t="n">
        <v>0</v>
      </c>
    </row>
    <row r="16">
      <c r="A16" t="n">
        <v>400110</v>
      </c>
      <c r="B16" t="inlineStr">
        <is>
          <t>시냅스_불확정역장</t>
        </is>
      </c>
      <c r="C16" t="inlineStr">
        <is>
          <t>시냅스_불확정역장</t>
        </is>
      </c>
      <c r="D16" t="inlineStr">
        <is>
          <t>Active</t>
        </is>
      </c>
      <c r="E16" t="n">
        <v>400110</v>
      </c>
      <c r="F16">
        <f>Skill[[#This Row],[skill_ui_type]]&amp;"_"&amp;"Name_"&amp;Skill[[#This Row],[skill_group_id]]</f>
        <v/>
      </c>
      <c r="G16">
        <f>Skill[[#This Row],[skill_ui_type]]&amp;"_"&amp;"Desc_"&amp;Skill[[#This Row],[skill_group_id]]</f>
        <v/>
      </c>
      <c r="H16" s="17" t="inlineStr">
        <is>
          <t>icon_skill_active_mechanic_01</t>
        </is>
      </c>
      <c r="I16" t="n">
        <v>400110</v>
      </c>
      <c r="J16" t="inlineStr">
        <is>
          <t>Test</t>
        </is>
      </c>
      <c r="K16" t="inlineStr">
        <is>
          <t>Normal</t>
        </is>
      </c>
      <c r="L16" t="inlineStr">
        <is>
          <t>None</t>
        </is>
      </c>
      <c r="M16" t="inlineStr">
        <is>
          <t>None</t>
        </is>
      </c>
      <c r="N16" t="n">
        <v>0</v>
      </c>
      <c r="O16" t="n">
        <v>-1</v>
      </c>
      <c r="P16" t="n">
        <v>-1</v>
      </c>
      <c r="Q16" t="n">
        <v>-1</v>
      </c>
      <c r="R16" t="n">
        <v>-1</v>
      </c>
      <c r="S16" t="n">
        <v>0</v>
      </c>
      <c r="T16" t="n">
        <v>3000</v>
      </c>
      <c r="U16" t="n">
        <v>1</v>
      </c>
      <c r="V16" t="n">
        <v>0</v>
      </c>
      <c r="W16" t="n">
        <v>-1</v>
      </c>
      <c r="X16" t="n">
        <v>0</v>
      </c>
      <c r="Z16" t="n">
        <v>0</v>
      </c>
      <c r="AA16" t="n">
        <v>0</v>
      </c>
      <c r="AB16" t="n">
        <v>0</v>
      </c>
      <c r="AC16" t="n">
        <v>4</v>
      </c>
      <c r="AD16" t="n">
        <v>5</v>
      </c>
      <c r="AE16" t="n">
        <v>10000</v>
      </c>
      <c r="AF16" t="n">
        <v>10000</v>
      </c>
      <c r="AG16" t="inlineStr">
        <is>
          <t>OrientRotationToCamera</t>
        </is>
      </c>
      <c r="AH16" t="n">
        <v>0</v>
      </c>
      <c r="AI16" t="inlineStr">
        <is>
          <t>Aero</t>
        </is>
      </c>
      <c r="AJ16" t="n">
        <v>0</v>
      </c>
      <c r="AK16" t="n">
        <v>0</v>
      </c>
      <c r="AL16" t="n">
        <v>-1</v>
      </c>
      <c r="AM16" t="n">
        <v>500</v>
      </c>
      <c r="AN16" t="n">
        <v>-1</v>
      </c>
      <c r="AO16" t="n">
        <v>0</v>
      </c>
      <c r="AP16" t="n">
        <v>400</v>
      </c>
      <c r="AQ16" t="n">
        <v>0</v>
      </c>
      <c r="AR16" t="n">
        <v>0</v>
      </c>
      <c r="AS16" t="n">
        <v>0</v>
      </c>
      <c r="AV16" t="n">
        <v>0</v>
      </c>
      <c r="AW16" t="n">
        <v>4001101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-1</v>
      </c>
      <c r="BH16" t="n">
        <v>-1</v>
      </c>
      <c r="BI16" t="inlineStr">
        <is>
          <t>Superarmor</t>
        </is>
      </c>
      <c r="BJ16" t="n">
        <v>-1</v>
      </c>
      <c r="BK16" t="n">
        <v>-1</v>
      </c>
      <c r="BL16" t="n">
        <v>-1</v>
      </c>
      <c r="BM16" t="inlineStr">
        <is>
          <t>Crosshair</t>
        </is>
      </c>
      <c r="BN16" t="n">
        <v>-1</v>
      </c>
      <c r="BO16" t="n">
        <v>-1</v>
      </c>
      <c r="BP16" t="n">
        <v>0</v>
      </c>
      <c r="BQ16" t="n">
        <v>0</v>
      </c>
      <c r="BR16" t="n">
        <v>-1</v>
      </c>
      <c r="BS16" t="n">
        <v>-1</v>
      </c>
      <c r="BT16" t="n">
        <v>-1</v>
      </c>
      <c r="BU16" t="inlineStr">
        <is>
          <t>synapse_skill_uncertaintyfield_start</t>
        </is>
      </c>
      <c r="BV16" t="inlineStr">
        <is>
          <t>synapse_skill_uncertaintyfield_aim</t>
        </is>
      </c>
      <c r="BW16" t="n">
        <v>0</v>
      </c>
      <c r="BX16" t="inlineStr">
        <is>
          <t>synapse_skill_uncertaintyfield_fire</t>
        </is>
      </c>
      <c r="BZ16" t="n">
        <v>-1</v>
      </c>
      <c r="CA16" t="n">
        <v>0</v>
      </c>
    </row>
    <row r="17">
      <c r="A17" t="n">
        <v>400111</v>
      </c>
      <c r="B17" t="inlineStr">
        <is>
          <t>시냅스_불확정역장_명령</t>
        </is>
      </c>
      <c r="C17" t="inlineStr">
        <is>
          <t>시냅스_불확정역장_명령</t>
        </is>
      </c>
      <c r="D17" t="inlineStr">
        <is>
          <t>Active</t>
        </is>
      </c>
      <c r="E17" t="n">
        <v>400110</v>
      </c>
      <c r="F17">
        <f>Skill[[#This Row],[skill_ui_type]]&amp;"_"&amp;"Name_"&amp;Skill[[#This Row],[skill_group_id]]</f>
        <v/>
      </c>
      <c r="G17">
        <f>Skill[[#This Row],[skill_ui_type]]&amp;"_"&amp;"Desc_"&amp;Skill[[#This Row],[skill_group_id]]</f>
        <v/>
      </c>
      <c r="H17" s="17" t="inlineStr">
        <is>
          <t>icon_skill_active_mechanic_01</t>
        </is>
      </c>
      <c r="I17" t="n">
        <v>400110</v>
      </c>
      <c r="J17" t="inlineStr">
        <is>
          <t>Test</t>
        </is>
      </c>
      <c r="K17" t="inlineStr">
        <is>
          <t>Normal</t>
        </is>
      </c>
      <c r="L17" t="inlineStr">
        <is>
          <t>None</t>
        </is>
      </c>
      <c r="M17" t="inlineStr">
        <is>
          <t>None</t>
        </is>
      </c>
      <c r="N17" t="n">
        <v>0</v>
      </c>
      <c r="O17" t="n">
        <v>-1</v>
      </c>
      <c r="P17" t="n">
        <v>-1</v>
      </c>
      <c r="Q17" t="n">
        <v>-1</v>
      </c>
      <c r="R17" t="n">
        <v>-1</v>
      </c>
      <c r="S17" t="n">
        <v>0</v>
      </c>
      <c r="T17" t="n">
        <v>1000</v>
      </c>
      <c r="U17" t="n">
        <v>1</v>
      </c>
      <c r="V17" t="n">
        <v>0</v>
      </c>
      <c r="W17" t="n">
        <v>-1</v>
      </c>
      <c r="X17" t="n">
        <v>0</v>
      </c>
      <c r="Z17" t="n">
        <v>0</v>
      </c>
      <c r="AA17" t="n">
        <v>0</v>
      </c>
      <c r="AB17" t="n">
        <v>0</v>
      </c>
      <c r="AC17" t="n">
        <v>4</v>
      </c>
      <c r="AD17" t="n">
        <v>5</v>
      </c>
      <c r="AE17" t="n">
        <v>10000</v>
      </c>
      <c r="AF17" t="n">
        <v>10000</v>
      </c>
      <c r="AG17" t="inlineStr">
        <is>
          <t>OrientRotationToCamera</t>
        </is>
      </c>
      <c r="AH17" t="n">
        <v>0</v>
      </c>
      <c r="AJ17" t="n">
        <v>0</v>
      </c>
      <c r="AK17" t="n">
        <v>0</v>
      </c>
      <c r="AL17" t="n">
        <v>-1</v>
      </c>
      <c r="AM17" t="n">
        <v>500</v>
      </c>
      <c r="AN17" t="n">
        <v>-1</v>
      </c>
      <c r="AO17" t="n">
        <v>0</v>
      </c>
      <c r="AP17" t="n">
        <v>400</v>
      </c>
      <c r="AQ17" t="n">
        <v>0</v>
      </c>
      <c r="AR17" t="n">
        <v>0</v>
      </c>
      <c r="AS17" t="n">
        <v>0</v>
      </c>
      <c r="AV17" t="n">
        <v>0</v>
      </c>
      <c r="AW17" t="n">
        <v>4001111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-1</v>
      </c>
      <c r="BH17" t="n">
        <v>-1</v>
      </c>
      <c r="BI17" t="inlineStr">
        <is>
          <t>Superarmor</t>
        </is>
      </c>
      <c r="BJ17" t="n">
        <v>-1</v>
      </c>
      <c r="BK17" t="n">
        <v>-1</v>
      </c>
      <c r="BL17" t="n">
        <v>-1</v>
      </c>
      <c r="BM17" t="inlineStr">
        <is>
          <t>Crosshair</t>
        </is>
      </c>
      <c r="BN17" t="n">
        <v>-1</v>
      </c>
      <c r="BO17" t="n">
        <v>-1</v>
      </c>
      <c r="BP17" t="n">
        <v>0</v>
      </c>
      <c r="BQ17" t="n">
        <v>0</v>
      </c>
      <c r="BR17" t="n">
        <v>-1</v>
      </c>
      <c r="BS17" t="n">
        <v>-1</v>
      </c>
      <c r="BT17" t="n">
        <v>-1</v>
      </c>
      <c r="BW17" t="n">
        <v>0</v>
      </c>
      <c r="BX17" t="inlineStr">
        <is>
          <t>synapse_skill_uncertaintyfield_release</t>
        </is>
      </c>
      <c r="BZ17" t="n">
        <v>-1</v>
      </c>
      <c r="CA17" t="n">
        <v>0</v>
      </c>
    </row>
    <row r="18">
      <c r="A18" t="n">
        <v>400210</v>
      </c>
      <c r="B18" t="inlineStr">
        <is>
          <t>시냅스_불확정역장_폭발(소환물)</t>
        </is>
      </c>
      <c r="C18" t="inlineStr">
        <is>
          <t>불확정역장_폭발</t>
        </is>
      </c>
      <c r="D18" t="inlineStr">
        <is>
          <t>Active</t>
        </is>
      </c>
      <c r="E18" t="n">
        <v>400210</v>
      </c>
      <c r="F18" t="inlineStr">
        <is>
          <t>null</t>
        </is>
      </c>
      <c r="G18" t="inlineStr">
        <is>
          <t>null</t>
        </is>
      </c>
      <c r="H18" s="17" t="inlineStr">
        <is>
          <t>null</t>
        </is>
      </c>
      <c r="I18" t="n">
        <v>-1</v>
      </c>
      <c r="J18" t="inlineStr">
        <is>
          <t>Test</t>
        </is>
      </c>
      <c r="K18" t="inlineStr">
        <is>
          <t>Normal</t>
        </is>
      </c>
      <c r="L18" t="inlineStr">
        <is>
          <t>None</t>
        </is>
      </c>
      <c r="M18" t="inlineStr">
        <is>
          <t>None</t>
        </is>
      </c>
      <c r="N18" t="n">
        <v>0</v>
      </c>
      <c r="O18" t="n">
        <v>-1</v>
      </c>
      <c r="P18" t="n">
        <v>-1</v>
      </c>
      <c r="Q18" t="n">
        <v>-1</v>
      </c>
      <c r="R18" t="n">
        <v>-1</v>
      </c>
      <c r="S18" t="n">
        <v>0</v>
      </c>
      <c r="T18" t="n">
        <v>1000</v>
      </c>
      <c r="U18" t="n">
        <v>1</v>
      </c>
      <c r="V18" t="n">
        <v>0</v>
      </c>
      <c r="W18" t="n">
        <v>-1</v>
      </c>
      <c r="X18" t="n">
        <v>0</v>
      </c>
      <c r="Z18" t="n">
        <v>0</v>
      </c>
      <c r="AA18" t="n">
        <v>0</v>
      </c>
      <c r="AB18" t="n">
        <v>0</v>
      </c>
      <c r="AC18" t="n">
        <v>4</v>
      </c>
      <c r="AD18" t="n">
        <v>5</v>
      </c>
      <c r="AE18" t="n">
        <v>10000</v>
      </c>
      <c r="AF18" t="n">
        <v>10000</v>
      </c>
      <c r="AG18" t="inlineStr">
        <is>
          <t>None</t>
        </is>
      </c>
      <c r="AH18" t="n">
        <v>1</v>
      </c>
      <c r="AI18" t="inlineStr">
        <is>
          <t>Aero</t>
        </is>
      </c>
      <c r="AJ18" t="n">
        <v>0</v>
      </c>
      <c r="AK18" t="n">
        <v>0</v>
      </c>
      <c r="AL18" t="n">
        <v>-1</v>
      </c>
      <c r="AM18" t="n">
        <v>500</v>
      </c>
      <c r="AN18" t="n">
        <v>-1</v>
      </c>
      <c r="AO18" t="n">
        <v>0</v>
      </c>
      <c r="AP18" t="n">
        <v>0</v>
      </c>
      <c r="AQ18" s="3" t="n">
        <v>0</v>
      </c>
      <c r="AR18" t="n">
        <v>0</v>
      </c>
      <c r="AS18" t="n">
        <v>0</v>
      </c>
      <c r="AV18" t="n">
        <v>0</v>
      </c>
      <c r="AW18" t="n">
        <v>4002101</v>
      </c>
      <c r="AX18" t="n">
        <v>0</v>
      </c>
      <c r="AY18" t="n">
        <v>4002102</v>
      </c>
      <c r="AZ18" t="n">
        <v>1</v>
      </c>
      <c r="BA18" t="n">
        <v>4002103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-1</v>
      </c>
      <c r="BH18" t="n">
        <v>-1</v>
      </c>
      <c r="BI18" t="inlineStr">
        <is>
          <t>Superarmor</t>
        </is>
      </c>
      <c r="BJ18" t="n">
        <v>-1</v>
      </c>
      <c r="BK18" t="n">
        <v>-1</v>
      </c>
      <c r="BL18" t="n">
        <v>-1</v>
      </c>
      <c r="BM18" t="inlineStr">
        <is>
          <t>Crosshair</t>
        </is>
      </c>
      <c r="BN18" t="n">
        <v>-1</v>
      </c>
      <c r="BO18" t="n">
        <v>-1</v>
      </c>
      <c r="BP18" t="n">
        <v>0</v>
      </c>
      <c r="BQ18" t="n">
        <v>0</v>
      </c>
      <c r="BR18" t="n">
        <v>-1</v>
      </c>
      <c r="BS18" t="n">
        <v>-1</v>
      </c>
      <c r="BT18" t="n">
        <v>-1</v>
      </c>
      <c r="BW18" t="n">
        <v>0</v>
      </c>
      <c r="BX18" t="inlineStr">
        <is>
          <t>uncertaintyfield_skill_explosion</t>
        </is>
      </c>
      <c r="BZ18" t="n">
        <v>-1</v>
      </c>
      <c r="CA18" t="n">
        <v>0</v>
      </c>
    </row>
    <row r="19" customFormat="1" s="12">
      <c r="A19" t="n">
        <v>400120</v>
      </c>
      <c r="B19" t="inlineStr">
        <is>
          <t>시냅스_방해전파장치</t>
        </is>
      </c>
      <c r="C19" t="inlineStr">
        <is>
          <t>시냅스_방해전파장치</t>
        </is>
      </c>
      <c r="D19" t="inlineStr">
        <is>
          <t>Active</t>
        </is>
      </c>
      <c r="E19" t="n">
        <v>400120</v>
      </c>
      <c r="F19">
        <f>Skill[[#This Row],[skill_ui_type]]&amp;"_"&amp;"Name_"&amp;Skill[[#This Row],[skill_group_id]]</f>
        <v/>
      </c>
      <c r="G19">
        <f>Skill[[#This Row],[skill_ui_type]]&amp;"_"&amp;"Desc_"&amp;Skill[[#This Row],[skill_group_id]]</f>
        <v/>
      </c>
      <c r="H19" s="17" t="inlineStr">
        <is>
          <t>icon_skill_active_mechanic_02</t>
        </is>
      </c>
      <c r="I19" t="n">
        <v>400120</v>
      </c>
      <c r="J19" t="inlineStr">
        <is>
          <t>Test</t>
        </is>
      </c>
      <c r="K19" t="inlineStr">
        <is>
          <t>SingleUseSkillWeapon</t>
        </is>
      </c>
      <c r="L19" t="inlineStr">
        <is>
          <t>None</t>
        </is>
      </c>
      <c r="M19" t="inlineStr">
        <is>
          <t>None</t>
        </is>
      </c>
      <c r="N19" t="n">
        <v>0</v>
      </c>
      <c r="O19" t="n">
        <v>-1</v>
      </c>
      <c r="P19" t="n">
        <v>-1</v>
      </c>
      <c r="Q19" t="n">
        <v>-1</v>
      </c>
      <c r="R19" t="n">
        <v>-1</v>
      </c>
      <c r="S19" t="n">
        <v>0</v>
      </c>
      <c r="T19" t="n">
        <v>3000</v>
      </c>
      <c r="U19" t="n">
        <v>1</v>
      </c>
      <c r="V19" t="n">
        <v>0</v>
      </c>
      <c r="W19" t="n">
        <v>-1</v>
      </c>
      <c r="X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5</v>
      </c>
      <c r="AE19" t="n">
        <v>10000</v>
      </c>
      <c r="AF19" t="n">
        <v>10000</v>
      </c>
      <c r="AG19" t="inlineStr">
        <is>
          <t>None</t>
        </is>
      </c>
      <c r="AH19" t="n">
        <v>1</v>
      </c>
      <c r="AI19" t="inlineStr">
        <is>
          <t>Aero</t>
        </is>
      </c>
      <c r="AJ19" t="n">
        <v>0</v>
      </c>
      <c r="AK19" t="n">
        <v>0</v>
      </c>
      <c r="AL19" t="n">
        <v>-1</v>
      </c>
      <c r="AM19" t="n">
        <v>1200</v>
      </c>
      <c r="AN19" t="n">
        <v>-1</v>
      </c>
      <c r="AO19" t="n">
        <v>0</v>
      </c>
      <c r="AP19" t="n">
        <v>800</v>
      </c>
      <c r="AQ19" s="3" t="n">
        <v>0</v>
      </c>
      <c r="AR19" t="n">
        <v>0</v>
      </c>
      <c r="AS19" t="n">
        <v>0</v>
      </c>
      <c r="AV19" t="n">
        <v>0</v>
      </c>
      <c r="AW19" t="n">
        <v>4001201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-1</v>
      </c>
      <c r="BH19" t="n">
        <v>-1</v>
      </c>
      <c r="BI19" t="inlineStr">
        <is>
          <t>Superarmor</t>
        </is>
      </c>
      <c r="BJ19" t="n">
        <v>-1</v>
      </c>
      <c r="BK19" t="n">
        <v>-1</v>
      </c>
      <c r="BL19" t="n">
        <v>-1</v>
      </c>
      <c r="BM19" t="inlineStr">
        <is>
          <t>Crosshair</t>
        </is>
      </c>
      <c r="BN19" t="n">
        <v>-1</v>
      </c>
      <c r="BO19" t="n">
        <v>-1</v>
      </c>
      <c r="BP19" t="n">
        <v>0</v>
      </c>
      <c r="BQ19" t="n">
        <v>0</v>
      </c>
      <c r="BR19" t="n">
        <v>-1</v>
      </c>
      <c r="BS19" t="n">
        <v>-1</v>
      </c>
      <c r="BT19" t="n">
        <v>-1</v>
      </c>
      <c r="BU19" t="inlineStr">
        <is>
          <t>synapse_skill_jammer_start</t>
        </is>
      </c>
      <c r="BV19" t="inlineStr">
        <is>
          <t>synapse_skill_jammer_aim</t>
        </is>
      </c>
      <c r="BW19" t="n">
        <v>0</v>
      </c>
      <c r="BX19" t="inlineStr">
        <is>
          <t>synapse_skill_jammer_fire</t>
        </is>
      </c>
      <c r="BZ19" t="n">
        <v>-1</v>
      </c>
      <c r="CA19" t="n">
        <v>0</v>
      </c>
    </row>
    <row r="20">
      <c r="A20" t="n">
        <v>400130</v>
      </c>
      <c r="B20" t="inlineStr">
        <is>
          <t>시냅스_바이러스노드</t>
        </is>
      </c>
      <c r="C20" t="inlineStr">
        <is>
          <t>시냅스_바이러스노드</t>
        </is>
      </c>
      <c r="D20" t="inlineStr">
        <is>
          <t>Ultimate</t>
        </is>
      </c>
      <c r="E20" t="n">
        <v>400130</v>
      </c>
      <c r="F20">
        <f>Skill[[#This Row],[skill_ui_type]]&amp;"_"&amp;"Name_"&amp;Skill[[#This Row],[skill_group_id]]</f>
        <v/>
      </c>
      <c r="G20">
        <f>Skill[[#This Row],[skill_ui_type]]&amp;"_"&amp;"Desc_"&amp;Skill[[#This Row],[skill_group_id]]</f>
        <v/>
      </c>
      <c r="H20" s="17" t="inlineStr">
        <is>
          <t>icon_skill_active_mechanic_03</t>
        </is>
      </c>
      <c r="I20" t="n">
        <v>400130</v>
      </c>
      <c r="J20" t="inlineStr">
        <is>
          <t>Test</t>
        </is>
      </c>
      <c r="K20" t="inlineStr">
        <is>
          <t>SingleUseSkillWeapon</t>
        </is>
      </c>
      <c r="L20" t="inlineStr">
        <is>
          <t>None</t>
        </is>
      </c>
      <c r="M20" t="inlineStr">
        <is>
          <t>None</t>
        </is>
      </c>
      <c r="N20" t="n">
        <v>0</v>
      </c>
      <c r="O20" t="n">
        <v>-1</v>
      </c>
      <c r="P20" t="n">
        <v>-1</v>
      </c>
      <c r="Q20" t="n">
        <v>-1</v>
      </c>
      <c r="R20" t="n">
        <v>-1</v>
      </c>
      <c r="S20" t="n">
        <v>0</v>
      </c>
      <c r="T20" t="n">
        <v>1000</v>
      </c>
      <c r="U20" t="n">
        <v>1</v>
      </c>
      <c r="V20" t="n">
        <v>0</v>
      </c>
      <c r="W20" t="n">
        <v>-1</v>
      </c>
      <c r="X20" t="n">
        <v>0</v>
      </c>
      <c r="Y20" t="inlineStr">
        <is>
          <t>Ulti</t>
        </is>
      </c>
      <c r="Z20" t="n">
        <v>-32767</v>
      </c>
      <c r="AA20" t="n">
        <v>0</v>
      </c>
      <c r="AB20" t="n">
        <v>0</v>
      </c>
      <c r="AC20" t="n">
        <v>6</v>
      </c>
      <c r="AD20" t="n">
        <v>7</v>
      </c>
      <c r="AE20" t="n">
        <v>10000</v>
      </c>
      <c r="AF20" t="n">
        <v>10000</v>
      </c>
      <c r="AG20" t="inlineStr">
        <is>
          <t>None</t>
        </is>
      </c>
      <c r="AH20" t="n">
        <v>1</v>
      </c>
      <c r="AI20" t="inlineStr">
        <is>
          <t>Aero</t>
        </is>
      </c>
      <c r="AJ20" t="n">
        <v>0</v>
      </c>
      <c r="AK20" t="n">
        <v>0</v>
      </c>
      <c r="AL20" t="n">
        <v>-1</v>
      </c>
      <c r="AM20" t="n">
        <v>1200</v>
      </c>
      <c r="AN20" t="n">
        <v>-1</v>
      </c>
      <c r="AO20" t="n">
        <v>0</v>
      </c>
      <c r="AP20" t="n">
        <v>800</v>
      </c>
      <c r="AQ20" s="3" t="n">
        <v>0</v>
      </c>
      <c r="AR20" t="n">
        <v>0</v>
      </c>
      <c r="AS20" t="n">
        <v>0</v>
      </c>
      <c r="AV20" t="n">
        <v>0</v>
      </c>
      <c r="AW20" t="n">
        <v>4001301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-1</v>
      </c>
      <c r="BH20" t="n">
        <v>-1</v>
      </c>
      <c r="BI20" t="inlineStr">
        <is>
          <t>Superarmor</t>
        </is>
      </c>
      <c r="BJ20" t="n">
        <v>-1</v>
      </c>
      <c r="BK20" t="n">
        <v>-1</v>
      </c>
      <c r="BL20" t="n">
        <v>-1</v>
      </c>
      <c r="BM20" t="inlineStr">
        <is>
          <t>Crosshair</t>
        </is>
      </c>
      <c r="BN20" t="n">
        <v>-1</v>
      </c>
      <c r="BO20" t="n">
        <v>-1</v>
      </c>
      <c r="BP20" t="n">
        <v>0</v>
      </c>
      <c r="BQ20" t="n">
        <v>0</v>
      </c>
      <c r="BR20" t="n">
        <v>-1</v>
      </c>
      <c r="BS20" t="n">
        <v>-1</v>
      </c>
      <c r="BT20" t="n">
        <v>-1</v>
      </c>
      <c r="BU20" t="inlineStr">
        <is>
          <t>synapse_skill_virusnode_start</t>
        </is>
      </c>
      <c r="BV20" t="inlineStr">
        <is>
          <t>synapse_skill_virusnode_aim</t>
        </is>
      </c>
      <c r="BW20" t="n">
        <v>0</v>
      </c>
      <c r="BX20" t="inlineStr">
        <is>
          <t>synapse_skill_virusnode_fire</t>
        </is>
      </c>
      <c r="BZ20" t="n">
        <v>-1</v>
      </c>
      <c r="CA20" t="n">
        <v>0</v>
      </c>
    </row>
  </sheetData>
  <conditionalFormatting sqref="A1:A1048576">
    <cfRule type="duplicateValues" priority="5" dxfId="0"/>
  </conditionalFormatting>
  <conditionalFormatting sqref="H2:I2 H3:H20">
    <cfRule type="containsText" priority="3" operator="containsText" dxfId="1" text="#">
      <formula>NOT(ISERROR(SEARCH("#",H2)))</formula>
    </cfRule>
  </conditionalFormatting>
  <conditionalFormatting sqref="AR3">
    <cfRule type="duplicateValues" priority="4" dxfId="0"/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7" sqref="C17"/>
    </sheetView>
  </sheetViews>
  <sheetFormatPr baseColWidth="8" defaultRowHeight="16.5"/>
  <cols>
    <col width="11" bestFit="1" customWidth="1" min="1" max="1"/>
    <col width="20.125" bestFit="1" customWidth="1" min="2" max="2"/>
    <col width="30.625" bestFit="1" customWidth="1" min="3" max="3"/>
    <col width="7" bestFit="1" customWidth="1" min="4" max="4"/>
    <col width="16" bestFit="1" customWidth="1" min="5" max="5"/>
  </cols>
  <sheetData>
    <row r="1">
      <c r="A1" t="inlineStr">
        <is>
          <t>DataGroup</t>
        </is>
      </c>
      <c r="B1" t="inlineStr">
        <is>
          <t>SkillSet</t>
        </is>
      </c>
    </row>
    <row r="2">
      <c r="A2" t="inlineStr">
        <is>
          <t>id</t>
        </is>
      </c>
      <c r="B2" s="2" t="inlineStr">
        <is>
          <t>#character_memo</t>
        </is>
      </c>
      <c r="C2" s="2" t="inlineStr">
        <is>
          <t>#name_memo</t>
        </is>
      </c>
      <c r="D2" t="inlineStr">
        <is>
          <t>slot</t>
        </is>
      </c>
      <c r="E2" t="inlineStr">
        <is>
          <t>skill_id</t>
        </is>
      </c>
    </row>
    <row r="3">
      <c r="A3" s="8" t="n">
        <v>1001</v>
      </c>
      <c r="B3" t="inlineStr">
        <is>
          <t>프리드웬</t>
        </is>
      </c>
      <c r="C3">
        <f>_xlfn.XLOOKUP(SkillSet[[#This Row],[skill_id]],Skill[id],Skill['#name_memo],"__",0)</f>
        <v/>
      </c>
      <c r="D3" t="inlineStr">
        <is>
          <t>Skill_1</t>
        </is>
      </c>
      <c r="E3" t="n">
        <v>100110</v>
      </c>
    </row>
    <row r="4">
      <c r="A4" s="8" t="n">
        <v>1001</v>
      </c>
      <c r="B4" t="inlineStr">
        <is>
          <t>프리드웬</t>
        </is>
      </c>
      <c r="C4">
        <f>_xlfn.XLOOKUP(SkillSet[[#This Row],[skill_id]],Skill[id],Skill['#name_memo],"__",0)</f>
        <v/>
      </c>
      <c r="D4" t="inlineStr">
        <is>
          <t>Skill_2</t>
        </is>
      </c>
      <c r="E4" t="n">
        <v>100120</v>
      </c>
    </row>
    <row r="5">
      <c r="A5" s="8" t="n">
        <v>1001</v>
      </c>
      <c r="B5" t="inlineStr">
        <is>
          <t>프리드웬</t>
        </is>
      </c>
      <c r="C5">
        <f>_xlfn.XLOOKUP(SkillSet[[#This Row],[skill_id]],Skill[id],Skill['#name_memo],"__",0)</f>
        <v/>
      </c>
      <c r="D5" t="inlineStr">
        <is>
          <t>Ulti</t>
        </is>
      </c>
      <c r="E5" t="n">
        <v>100130</v>
      </c>
    </row>
    <row r="6">
      <c r="A6" s="1" t="n">
        <v>2001</v>
      </c>
      <c r="B6" t="inlineStr">
        <is>
          <t>카야</t>
        </is>
      </c>
      <c r="C6">
        <f>_xlfn.XLOOKUP(SkillSet[[#This Row],[skill_id]],Skill[id],Skill['#name_memo],"__",0)</f>
        <v/>
      </c>
      <c r="D6" t="inlineStr">
        <is>
          <t>Skill_1</t>
        </is>
      </c>
      <c r="E6" t="n">
        <v>200110</v>
      </c>
    </row>
    <row r="7">
      <c r="A7" s="1" t="n">
        <v>2001</v>
      </c>
      <c r="B7" t="inlineStr">
        <is>
          <t>카야</t>
        </is>
      </c>
      <c r="C7">
        <f>_xlfn.XLOOKUP(SkillSet[[#This Row],[skill_id]],Skill[id],Skill['#name_memo],"__",0)</f>
        <v/>
      </c>
      <c r="D7" t="inlineStr">
        <is>
          <t>Skill_2</t>
        </is>
      </c>
      <c r="E7" t="n">
        <v>200120</v>
      </c>
    </row>
    <row r="8">
      <c r="A8" s="1" t="n">
        <v>2001</v>
      </c>
      <c r="B8" t="inlineStr">
        <is>
          <t>카야</t>
        </is>
      </c>
      <c r="C8">
        <f>_xlfn.XLOOKUP(SkillSet[[#This Row],[skill_id]],Skill[id],Skill['#name_memo],"__",0)</f>
        <v/>
      </c>
      <c r="D8" t="inlineStr">
        <is>
          <t>Ulti</t>
        </is>
      </c>
      <c r="E8" t="n">
        <v>200130</v>
      </c>
    </row>
    <row r="9">
      <c r="A9" s="18" t="n">
        <v>3001</v>
      </c>
      <c r="B9" t="inlineStr">
        <is>
          <t>엔젤</t>
        </is>
      </c>
      <c r="C9">
        <f>_xlfn.XLOOKUP(SkillSet[[#This Row],[skill_id]],Skill[id],Skill['#name_memo],"__",0)</f>
        <v/>
      </c>
      <c r="D9" t="inlineStr">
        <is>
          <t>Skill_1</t>
        </is>
      </c>
      <c r="E9" t="n">
        <v>300110</v>
      </c>
    </row>
    <row r="10">
      <c r="A10" s="18" t="n">
        <v>3001</v>
      </c>
      <c r="B10" t="inlineStr">
        <is>
          <t>엔젤</t>
        </is>
      </c>
      <c r="C10">
        <f>_xlfn.XLOOKUP(SkillSet[[#This Row],[skill_id]],Skill[id],Skill['#name_memo],"__",0)</f>
        <v/>
      </c>
      <c r="D10" t="inlineStr">
        <is>
          <t>Skill_2</t>
        </is>
      </c>
      <c r="E10" t="n">
        <v>300120</v>
      </c>
    </row>
    <row r="11">
      <c r="A11" s="18" t="n">
        <v>3001</v>
      </c>
      <c r="B11" t="inlineStr">
        <is>
          <t>엔젤</t>
        </is>
      </c>
      <c r="C11">
        <f>_xlfn.XLOOKUP(SkillSet[[#This Row],[skill_id]],Skill[id],Skill['#name_memo],"__",0)</f>
        <v/>
      </c>
      <c r="D11" t="inlineStr">
        <is>
          <t>Ulti</t>
        </is>
      </c>
      <c r="E11" t="n">
        <v>300130</v>
      </c>
    </row>
    <row r="12">
      <c r="A12" s="8" t="n">
        <v>4001</v>
      </c>
      <c r="B12" t="inlineStr">
        <is>
          <t>시냅스</t>
        </is>
      </c>
      <c r="C12">
        <f>_xlfn.XLOOKUP(SkillSet[[#This Row],[skill_id]],Skill[id],Skill['#name_memo],"__",0)</f>
        <v/>
      </c>
      <c r="D12" t="inlineStr">
        <is>
          <t>Skill_1</t>
        </is>
      </c>
      <c r="E12" t="n">
        <v>400110</v>
      </c>
    </row>
    <row r="13">
      <c r="A13" s="8" t="n">
        <v>4001</v>
      </c>
      <c r="B13" t="inlineStr">
        <is>
          <t>시냅스</t>
        </is>
      </c>
      <c r="C13">
        <f>_xlfn.XLOOKUP(SkillSet[[#This Row],[skill_id]],Skill[id],Skill['#name_memo],"__",0)</f>
        <v/>
      </c>
      <c r="D13" t="inlineStr">
        <is>
          <t>Skill_2</t>
        </is>
      </c>
      <c r="E13" t="n">
        <v>400120</v>
      </c>
    </row>
    <row r="14">
      <c r="A14" s="8" t="n">
        <v>4001</v>
      </c>
      <c r="B14" t="inlineStr">
        <is>
          <t>시냅스</t>
        </is>
      </c>
      <c r="C14">
        <f>_xlfn.XLOOKUP(SkillSet[[#This Row],[skill_id]],Skill[id],Skill['#name_memo],"__",0)</f>
        <v/>
      </c>
      <c r="D14" t="inlineStr">
        <is>
          <t>Ulti</t>
        </is>
      </c>
      <c r="E14" t="n">
        <v>400130</v>
      </c>
    </row>
    <row r="15">
      <c r="A15" s="22" t="n">
        <v>4002</v>
      </c>
      <c r="B15" t="inlineStr">
        <is>
          <t>시냅스_불확정역장</t>
        </is>
      </c>
      <c r="C15">
        <f>_xlfn.XLOOKUP(SkillSet[[#This Row],[skill_id]],Skill[id],Skill['#name_memo],"__",0)</f>
        <v/>
      </c>
      <c r="D15" t="inlineStr">
        <is>
          <t>Skill_1</t>
        </is>
      </c>
      <c r="E15" t="n">
        <v>400210</v>
      </c>
    </row>
    <row r="16">
      <c r="A16" s="24" t="inlineStr">
        <is>
          <t>5001</t>
        </is>
      </c>
      <c r="B16" s="24" t="inlineStr">
        <is>
          <t>이두형</t>
        </is>
      </c>
      <c r="C16" s="24" t="inlineStr">
        <is>
          <t>이두형_전투자극제</t>
        </is>
      </c>
      <c r="D16" s="24" t="inlineStr">
        <is>
          <t>Skill_1</t>
        </is>
      </c>
      <c r="E16" s="24" t="inlineStr">
        <is>
          <t>500110</t>
        </is>
      </c>
    </row>
    <row r="17">
      <c r="A17" s="24" t="inlineStr">
        <is>
          <t>5001</t>
        </is>
      </c>
      <c r="B17" s="24" t="inlineStr">
        <is>
          <t>이두형</t>
        </is>
      </c>
      <c r="C17" s="24" t="inlineStr">
        <is>
          <t>이두형_전술기동</t>
        </is>
      </c>
      <c r="D17" s="24" t="inlineStr">
        <is>
          <t>Skill_2</t>
        </is>
      </c>
      <c r="E17" s="24" t="inlineStr">
        <is>
          <t>500120</t>
        </is>
      </c>
    </row>
    <row r="18">
      <c r="A18" s="24" t="inlineStr">
        <is>
          <t>5001</t>
        </is>
      </c>
      <c r="B18" s="24" t="inlineStr">
        <is>
          <t>이두형</t>
        </is>
      </c>
      <c r="C18" s="24" t="inlineStr">
        <is>
          <t>이두형_대전차로켓</t>
        </is>
      </c>
      <c r="D18" s="24" t="inlineStr">
        <is>
          <t>Ulti</t>
        </is>
      </c>
      <c r="E18" s="24" t="inlineStr">
        <is>
          <t>500130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6" sqref="J6"/>
    </sheetView>
  </sheetViews>
  <sheetFormatPr baseColWidth="8" defaultRowHeight="16.5"/>
  <cols>
    <col width="11" bestFit="1" customWidth="1" min="1" max="1"/>
    <col width="29.25" bestFit="1" customWidth="1" min="2" max="2"/>
    <col width="10.625" bestFit="1" customWidth="1" min="3" max="3"/>
    <col width="15" bestFit="1" customWidth="1" min="4" max="4"/>
    <col width="19.125" bestFit="1" customWidth="1" min="5" max="5"/>
    <col width="17.75" bestFit="1" customWidth="1" min="6" max="6"/>
    <col width="23.75" bestFit="1" customWidth="1" min="7" max="7"/>
    <col width="20.375" bestFit="1" customWidth="1" min="8" max="8"/>
    <col width="19.5" bestFit="1" customWidth="1" min="9" max="9"/>
    <col width="18.25" bestFit="1" customWidth="1" min="10" max="10"/>
    <col width="19.375" bestFit="1" customWidth="1" min="11" max="11"/>
  </cols>
  <sheetData>
    <row r="1">
      <c r="A1" t="inlineStr">
        <is>
          <t>DataGroup</t>
        </is>
      </c>
      <c r="B1" t="inlineStr">
        <is>
          <t>SkillTrans</t>
        </is>
      </c>
    </row>
    <row r="2">
      <c r="A2" t="inlineStr">
        <is>
          <t>skill_fk</t>
        </is>
      </c>
      <c r="B2" s="2" t="inlineStr">
        <is>
          <t>#name_memo</t>
        </is>
      </c>
      <c r="C2" t="inlineStr">
        <is>
          <t>trans_id</t>
        </is>
      </c>
      <c r="D2" t="inlineStr">
        <is>
          <t>trans_skill_id</t>
        </is>
      </c>
      <c r="E2" t="inlineStr">
        <is>
          <t>check_trans_type</t>
        </is>
      </c>
      <c r="F2" t="inlineStr">
        <is>
          <t>trans_condition</t>
        </is>
      </c>
      <c r="G2" t="inlineStr">
        <is>
          <t>trans_condition_value</t>
        </is>
      </c>
      <c r="H2" t="inlineStr">
        <is>
          <t>trans_enable_start</t>
        </is>
      </c>
      <c r="I2" t="inlineStr">
        <is>
          <t>trans_enable_end</t>
        </is>
      </c>
      <c r="J2" t="inlineStr">
        <is>
          <t>enable_visualize</t>
        </is>
      </c>
      <c r="K2" t="inlineStr">
        <is>
          <t>ignore_cooldown</t>
        </is>
      </c>
    </row>
    <row r="3">
      <c r="A3" t="n">
        <v>100120</v>
      </c>
      <c r="B3">
        <f>_xlfn.XLOOKUP(SkillTrans[[#This Row],[trans_skill_id]],Skill[id],Skill['#name_memo],"__",0)</f>
        <v/>
      </c>
      <c r="C3" t="n">
        <v>1</v>
      </c>
      <c r="D3" t="n">
        <v>100121</v>
      </c>
      <c r="E3" t="inlineStr">
        <is>
          <t>PlayWait</t>
        </is>
      </c>
      <c r="F3" t="inlineStr">
        <is>
          <t>BodyCollisionHitEnemy</t>
        </is>
      </c>
      <c r="G3" t="n">
        <v>-1</v>
      </c>
      <c r="H3" t="n">
        <v>250</v>
      </c>
      <c r="I3" t="n">
        <v>1400</v>
      </c>
      <c r="J3" t="n">
        <v>0</v>
      </c>
      <c r="K3" t="n">
        <v>0</v>
      </c>
    </row>
    <row r="4">
      <c r="A4" t="n">
        <v>100120</v>
      </c>
      <c r="B4">
        <f>_xlfn.XLOOKUP(SkillTrans[[#This Row],[trans_skill_id]],Skill[id],Skill['#name_memo],"__",0)</f>
        <v/>
      </c>
      <c r="C4" t="n">
        <v>2</v>
      </c>
      <c r="D4" t="n">
        <v>100122</v>
      </c>
      <c r="E4" t="inlineStr">
        <is>
          <t>CheckPlay</t>
        </is>
      </c>
      <c r="F4" t="inlineStr">
        <is>
          <t>CheckMark</t>
        </is>
      </c>
      <c r="G4" t="n">
        <v>51001051</v>
      </c>
      <c r="H4" t="n">
        <v>-1</v>
      </c>
      <c r="I4" t="n">
        <v>-1</v>
      </c>
      <c r="J4" t="n">
        <v>0</v>
      </c>
      <c r="K4" t="n">
        <v>-1</v>
      </c>
    </row>
    <row r="5">
      <c r="A5" t="n">
        <v>100122</v>
      </c>
      <c r="B5">
        <f>_xlfn.XLOOKUP(SkillTrans[[#This Row],[trans_skill_id]],Skill[id],Skill['#name_memo],"__",0)</f>
        <v/>
      </c>
      <c r="C5" t="n">
        <v>1</v>
      </c>
      <c r="D5" t="n">
        <v>100121</v>
      </c>
      <c r="E5" t="inlineStr">
        <is>
          <t>PlayWait</t>
        </is>
      </c>
      <c r="F5" t="inlineStr">
        <is>
          <t>BodyCollisionHitEnemy</t>
        </is>
      </c>
      <c r="G5" t="n">
        <v>-1</v>
      </c>
      <c r="H5" t="n">
        <v>250</v>
      </c>
      <c r="I5" t="n">
        <v>1400</v>
      </c>
      <c r="J5" t="n">
        <v>0</v>
      </c>
      <c r="K5" t="n">
        <v>0</v>
      </c>
    </row>
    <row r="6">
      <c r="A6" t="n">
        <v>200110</v>
      </c>
      <c r="B6">
        <f>_xlfn.XLOOKUP(SkillTrans[[#This Row],[trans_skill_id]],Skill[id],Skill['#name_memo],"__",0)</f>
        <v/>
      </c>
      <c r="C6" t="n">
        <v>1</v>
      </c>
      <c r="D6" t="n">
        <v>200111</v>
      </c>
      <c r="E6" t="inlineStr">
        <is>
          <t>CheckPlay</t>
        </is>
      </c>
      <c r="F6" t="inlineStr">
        <is>
          <t>CheckMark</t>
        </is>
      </c>
      <c r="G6" t="n">
        <v>52001031</v>
      </c>
      <c r="H6" t="n">
        <v>-1</v>
      </c>
      <c r="I6" t="n">
        <v>-1</v>
      </c>
      <c r="J6" t="n">
        <v>0</v>
      </c>
      <c r="K6" t="n">
        <v>-1</v>
      </c>
    </row>
    <row r="7">
      <c r="A7" t="n">
        <v>300110</v>
      </c>
      <c r="B7">
        <f>_xlfn.XLOOKUP(SkillTrans[[#This Row],[trans_skill_id]],Skill[id],Skill['#name_memo],"__",0)</f>
        <v/>
      </c>
      <c r="C7" t="n">
        <v>1</v>
      </c>
      <c r="D7" t="n">
        <v>300111</v>
      </c>
      <c r="E7" t="inlineStr">
        <is>
          <t>CheckPlay</t>
        </is>
      </c>
      <c r="F7" t="inlineStr">
        <is>
          <t>CheckStatusEffect</t>
        </is>
      </c>
      <c r="G7" t="n">
        <v>30011011</v>
      </c>
      <c r="H7" t="n">
        <v>-1</v>
      </c>
      <c r="I7" t="n">
        <v>-1</v>
      </c>
      <c r="J7" t="n">
        <v>1</v>
      </c>
      <c r="K7" t="n">
        <v>1</v>
      </c>
    </row>
    <row r="8">
      <c r="A8" t="n">
        <v>400110</v>
      </c>
      <c r="B8">
        <f>_xlfn.XLOOKUP(SkillTrans[[#This Row],[trans_skill_id]],Skill[id],Skill['#name_memo],"__",0)</f>
        <v/>
      </c>
      <c r="C8" t="n">
        <v>1</v>
      </c>
      <c r="D8" t="n">
        <v>400111</v>
      </c>
      <c r="E8" t="inlineStr">
        <is>
          <t>CheckPlay</t>
        </is>
      </c>
      <c r="F8" t="inlineStr">
        <is>
          <t>CheckSkillSummon</t>
        </is>
      </c>
      <c r="G8" t="n">
        <v>4002</v>
      </c>
      <c r="H8" t="n">
        <v>-1</v>
      </c>
      <c r="I8" t="n">
        <v>-1</v>
      </c>
      <c r="J8" t="n">
        <v>1</v>
      </c>
      <c r="K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baseColWidth="8" defaultRowHeight="16.5"/>
  <cols>
    <col width="11" bestFit="1" customWidth="1" min="1" max="1"/>
    <col width="22.25" bestFit="1" customWidth="1" min="2" max="2"/>
    <col width="18.25" bestFit="1" customWidth="1" min="3" max="3"/>
    <col width="18.625" bestFit="1" customWidth="1" min="4" max="5"/>
  </cols>
  <sheetData>
    <row r="1">
      <c r="A1" t="inlineStr">
        <is>
          <t>DataGroup</t>
        </is>
      </c>
      <c r="B1" t="inlineStr">
        <is>
          <t>SkillCondition</t>
        </is>
      </c>
    </row>
    <row r="2">
      <c r="A2" t="inlineStr">
        <is>
          <t>skill_fk</t>
        </is>
      </c>
      <c r="B2" s="2" t="inlineStr">
        <is>
          <t>#name_memo</t>
        </is>
      </c>
      <c r="C2" t="inlineStr">
        <is>
          <t>check_condition</t>
        </is>
      </c>
      <c r="D2" t="inlineStr">
        <is>
          <t>condtion_value1</t>
        </is>
      </c>
      <c r="E2" t="inlineStr">
        <is>
          <t>condtion_value2</t>
        </is>
      </c>
    </row>
    <row r="3">
      <c r="A3" t="n">
        <v>100130</v>
      </c>
      <c r="B3">
        <f>_xlfn.XLOOKUP(SkillCondition[[#This Row],[skill_fk]],Skill[id],Skill['#name_memo],"__",0)</f>
        <v/>
      </c>
      <c r="C3" t="inlineStr">
        <is>
          <t>EnGreaterOrEqual</t>
        </is>
      </c>
      <c r="D3" t="n">
        <v>1</v>
      </c>
      <c r="E3" t="n">
        <v>13000</v>
      </c>
    </row>
    <row r="4">
      <c r="A4" t="n">
        <v>200130</v>
      </c>
      <c r="B4">
        <f>_xlfn.XLOOKUP(SkillCondition[[#This Row],[skill_fk]],Skill[id],Skill['#name_memo],"__",0)</f>
        <v/>
      </c>
      <c r="C4" t="inlineStr">
        <is>
          <t>EnGreaterOrEqual</t>
        </is>
      </c>
      <c r="D4" t="n">
        <v>1</v>
      </c>
      <c r="E4" t="n">
        <v>11500</v>
      </c>
    </row>
    <row r="5">
      <c r="A5" s="19" t="n">
        <v>300130</v>
      </c>
      <c r="B5" s="19">
        <f>_xlfn.XLOOKUP(SkillCondition[[#This Row],[skill_fk]],Skill[id],Skill['#name_memo],"__",0)</f>
        <v/>
      </c>
      <c r="C5" t="inlineStr">
        <is>
          <t>EnGreaterOrEqual</t>
        </is>
      </c>
      <c r="D5" t="n">
        <v>1</v>
      </c>
      <c r="E5" s="19" t="n">
        <v>14000</v>
      </c>
    </row>
    <row r="6">
      <c r="A6" s="19" t="n">
        <v>400130</v>
      </c>
      <c r="B6" s="19">
        <f>_xlfn.XLOOKUP(SkillCondition[[#This Row],[skill_fk]],Skill[id],Skill['#name_memo],"__",0)</f>
        <v/>
      </c>
      <c r="C6" t="inlineStr">
        <is>
          <t>EnGreaterOrEqual</t>
        </is>
      </c>
      <c r="D6" t="n">
        <v>1</v>
      </c>
      <c r="E6" s="19" t="n">
        <v>17000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9" sqref="E19"/>
    </sheetView>
  </sheetViews>
  <sheetFormatPr baseColWidth="8" defaultRowHeight="16.5"/>
  <cols>
    <col width="11" bestFit="1" customWidth="1" min="1" max="1"/>
    <col width="58.25" bestFit="1" customWidth="1" min="2" max="2"/>
    <col width="21.625" bestFit="1" customWidth="1" min="3" max="3"/>
    <col width="19.375" bestFit="1" customWidth="1" style="6" min="4" max="4"/>
    <col width="20.75" bestFit="1" customWidth="1" style="3" min="5" max="5"/>
    <col width="20.75" bestFit="1" customWidth="1" min="6" max="9"/>
    <col width="29.875" bestFit="1" customWidth="1" style="3" min="10" max="10"/>
  </cols>
  <sheetData>
    <row r="1">
      <c r="A1" t="inlineStr">
        <is>
          <t>DataGroup</t>
        </is>
      </c>
      <c r="B1" t="inlineStr">
        <is>
          <t>SkillExecute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execute_check_type</t>
        </is>
      </c>
      <c r="D2" s="7" t="inlineStr">
        <is>
          <t>execute_range_id</t>
        </is>
      </c>
      <c r="E2" s="4" t="inlineStr">
        <is>
          <t>execute_effect_id1</t>
        </is>
      </c>
      <c r="F2" s="5" t="inlineStr">
        <is>
          <t>execute_effect_id2</t>
        </is>
      </c>
      <c r="G2" s="5" t="inlineStr">
        <is>
          <t>execute_effect_id3</t>
        </is>
      </c>
      <c r="H2" s="5" t="inlineStr">
        <is>
          <t>execute_effect_id4</t>
        </is>
      </c>
      <c r="I2" s="5" t="inlineStr">
        <is>
          <t>execute_effect_id5</t>
        </is>
      </c>
      <c r="J2" s="3" t="inlineStr">
        <is>
          <t>caster_result_execute_effect</t>
        </is>
      </c>
    </row>
    <row r="3">
      <c r="A3" t="n">
        <v>1001101</v>
      </c>
      <c r="B3" t="inlineStr">
        <is>
          <t>프리드웬_전술방패전개_on</t>
        </is>
      </c>
      <c r="C3" t="inlineStr">
        <is>
          <t>SkillWeapon</t>
        </is>
      </c>
      <c r="D3" s="6" t="n">
        <v>1</v>
      </c>
      <c r="E3" s="3" t="n">
        <v>210014</v>
      </c>
      <c r="F3" t="n">
        <v>-1</v>
      </c>
      <c r="G3" t="n">
        <v>2</v>
      </c>
      <c r="H3" t="n">
        <v>-1</v>
      </c>
      <c r="I3" t="n">
        <v>-1</v>
      </c>
      <c r="J3" s="3" t="n">
        <v>-1</v>
      </c>
    </row>
    <row r="4">
      <c r="A4" s="9" t="n">
        <v>1001201</v>
      </c>
      <c r="B4" t="inlineStr">
        <is>
          <t>프리드웬_돌진_대미지감소_시작</t>
        </is>
      </c>
      <c r="C4" t="inlineStr">
        <is>
          <t>Normal</t>
        </is>
      </c>
      <c r="D4" s="6" t="n">
        <v>1</v>
      </c>
      <c r="E4" s="3" t="n">
        <v>10012011</v>
      </c>
      <c r="F4" t="n">
        <v>-1</v>
      </c>
      <c r="G4" t="n">
        <v>-1</v>
      </c>
      <c r="H4" t="n">
        <v>-1</v>
      </c>
      <c r="I4" t="n">
        <v>-1</v>
      </c>
      <c r="J4" s="3" t="n">
        <v>-1</v>
      </c>
    </row>
    <row r="5">
      <c r="A5" t="n">
        <v>1001211</v>
      </c>
      <c r="B5" t="inlineStr">
        <is>
          <t>프리드웬_돌진_기본버전</t>
        </is>
      </c>
      <c r="C5" t="inlineStr">
        <is>
          <t>Normal</t>
        </is>
      </c>
      <c r="D5" s="6" t="n">
        <v>1001211</v>
      </c>
      <c r="E5" s="3" t="n">
        <v>10012111</v>
      </c>
      <c r="F5" t="n">
        <v>10012112</v>
      </c>
      <c r="G5" t="n">
        <v>-1</v>
      </c>
      <c r="H5" t="n">
        <v>-1</v>
      </c>
      <c r="I5" t="n">
        <v>-1</v>
      </c>
      <c r="J5" s="3" t="n">
        <v>-1</v>
      </c>
    </row>
    <row r="6">
      <c r="A6" s="9" t="n">
        <v>1001212</v>
      </c>
      <c r="B6" t="inlineStr">
        <is>
          <t>프리드웬_돌진_대미지감소_종료</t>
        </is>
      </c>
      <c r="C6" t="inlineStr">
        <is>
          <t>Normal</t>
        </is>
      </c>
      <c r="D6" s="6" t="n">
        <v>1</v>
      </c>
      <c r="E6" s="3" t="n">
        <v>10012121</v>
      </c>
      <c r="F6" t="n">
        <v>-1</v>
      </c>
      <c r="G6" t="n">
        <v>-1</v>
      </c>
      <c r="H6" t="n">
        <v>-1</v>
      </c>
      <c r="I6" t="n">
        <v>-1</v>
      </c>
      <c r="J6" s="3" t="n">
        <v>-1</v>
      </c>
    </row>
    <row r="7">
      <c r="A7" t="n">
        <v>1001301</v>
      </c>
      <c r="B7" t="inlineStr">
        <is>
          <t>프리드웬_통각차단_자신버프</t>
        </is>
      </c>
      <c r="C7" t="inlineStr">
        <is>
          <t>Normal</t>
        </is>
      </c>
      <c r="D7" s="6" t="n">
        <v>1</v>
      </c>
      <c r="E7" s="3" t="n">
        <v>10013011</v>
      </c>
      <c r="F7" t="n">
        <v>-1</v>
      </c>
      <c r="G7" t="n">
        <v>-1</v>
      </c>
      <c r="H7" t="n">
        <v>-1</v>
      </c>
      <c r="I7" t="n">
        <v>-1</v>
      </c>
      <c r="J7" s="3" t="n">
        <v>-1</v>
      </c>
    </row>
    <row r="8">
      <c r="A8" t="n">
        <v>1001302</v>
      </c>
      <c r="B8" t="inlineStr">
        <is>
          <t>프리드웬_통각차단_적디버프</t>
        </is>
      </c>
      <c r="C8" t="inlineStr">
        <is>
          <t>Normal</t>
        </is>
      </c>
      <c r="D8" s="6" t="n">
        <v>1001302</v>
      </c>
      <c r="E8" s="3" t="n">
        <v>10013021</v>
      </c>
      <c r="F8" s="3" t="n">
        <v>10013022</v>
      </c>
      <c r="G8" t="n">
        <v>-1</v>
      </c>
      <c r="H8" t="n">
        <v>-1</v>
      </c>
      <c r="I8" t="n">
        <v>-1</v>
      </c>
      <c r="J8" s="3" t="n">
        <v>-1</v>
      </c>
    </row>
    <row r="9">
      <c r="A9" t="n">
        <v>2001101</v>
      </c>
      <c r="B9" t="inlineStr">
        <is>
          <t>카야_전투자극제</t>
        </is>
      </c>
      <c r="C9" t="inlineStr">
        <is>
          <t>Normal</t>
        </is>
      </c>
      <c r="D9" s="6" t="n">
        <v>1</v>
      </c>
      <c r="E9" s="3" t="n">
        <v>20011011</v>
      </c>
      <c r="F9" t="n">
        <v>-1</v>
      </c>
      <c r="G9" t="n">
        <v>-1</v>
      </c>
      <c r="H9" t="n">
        <v>-1</v>
      </c>
      <c r="I9" t="n">
        <v>-1</v>
      </c>
      <c r="J9" s="3" t="n">
        <v>-1</v>
      </c>
    </row>
    <row r="10">
      <c r="A10" t="n">
        <v>2001102</v>
      </c>
      <c r="B10" t="inlineStr">
        <is>
          <t>카야_전투자극제_스프레이</t>
        </is>
      </c>
      <c r="C10" t="inlineStr">
        <is>
          <t>Normal</t>
        </is>
      </c>
      <c r="D10" s="6" t="n">
        <v>5</v>
      </c>
      <c r="E10" s="3" t="n">
        <v>20011021</v>
      </c>
      <c r="F10" t="n">
        <v>-1</v>
      </c>
      <c r="G10" t="n">
        <v>-1</v>
      </c>
      <c r="H10" t="n">
        <v>-1</v>
      </c>
      <c r="I10" t="n">
        <v>-1</v>
      </c>
      <c r="J10" s="3" t="n">
        <v>-1</v>
      </c>
    </row>
    <row r="11">
      <c r="A11" t="n">
        <v>2001201</v>
      </c>
      <c r="B11" t="inlineStr">
        <is>
          <t>카야_전술기동</t>
        </is>
      </c>
      <c r="C11" t="inlineStr">
        <is>
          <t>Normal</t>
        </is>
      </c>
      <c r="D11" s="6" t="n">
        <v>1</v>
      </c>
      <c r="E11" s="3" t="n">
        <v>20012011</v>
      </c>
      <c r="F11" t="n">
        <v>-1</v>
      </c>
      <c r="G11" t="n">
        <v>-1</v>
      </c>
      <c r="H11" t="n">
        <v>-1</v>
      </c>
      <c r="I11" t="n">
        <v>-1</v>
      </c>
      <c r="J11" s="3" t="n">
        <v>-1</v>
      </c>
    </row>
    <row r="12">
      <c r="A12" t="n">
        <v>2001301</v>
      </c>
      <c r="B12" t="inlineStr">
        <is>
          <t>카야_대전차로켓</t>
        </is>
      </c>
      <c r="C12" t="inlineStr">
        <is>
          <t>SkillWeapon</t>
        </is>
      </c>
      <c r="D12" s="6" t="n">
        <v>1</v>
      </c>
      <c r="E12" s="3" t="n">
        <v>220014</v>
      </c>
      <c r="F12" t="n">
        <v>-1</v>
      </c>
      <c r="G12" t="n">
        <v>1</v>
      </c>
      <c r="H12" t="n">
        <v>-1</v>
      </c>
      <c r="I12" t="n">
        <v>-1</v>
      </c>
      <c r="J12" s="3" t="n">
        <v>-1</v>
      </c>
    </row>
    <row r="13">
      <c r="A13" t="n">
        <v>3001001</v>
      </c>
      <c r="B13" t="inlineStr">
        <is>
          <t>엔젤_사냥감각_처치한 적 주변 추적</t>
        </is>
      </c>
      <c r="C13" t="inlineStr">
        <is>
          <t>Normal</t>
        </is>
      </c>
      <c r="D13" s="6" t="n">
        <v>0</v>
      </c>
      <c r="E13" s="3" t="n">
        <v>30010011</v>
      </c>
      <c r="F13" t="n">
        <v>-1</v>
      </c>
      <c r="G13" t="n">
        <v>-1</v>
      </c>
      <c r="H13" t="n">
        <v>-1</v>
      </c>
      <c r="I13" t="n">
        <v>-1</v>
      </c>
      <c r="J13" s="3" t="n">
        <v>-1</v>
      </c>
    </row>
    <row r="14">
      <c r="A14" t="n">
        <v>3001101</v>
      </c>
      <c r="B14" t="inlineStr">
        <is>
          <t>엔젤_오프라인_은신</t>
        </is>
      </c>
      <c r="C14" t="inlineStr">
        <is>
          <t>Normal</t>
        </is>
      </c>
      <c r="D14" s="6" t="n">
        <v>1</v>
      </c>
      <c r="E14" s="20" t="n">
        <v>30011011</v>
      </c>
      <c r="F14" t="n">
        <v>-1</v>
      </c>
      <c r="G14" t="n">
        <v>-1</v>
      </c>
      <c r="H14" t="n">
        <v>-1</v>
      </c>
      <c r="I14" t="n">
        <v>-1</v>
      </c>
      <c r="J14" s="3" t="n">
        <v>-1</v>
      </c>
    </row>
    <row r="15">
      <c r="A15" t="n">
        <v>3001111</v>
      </c>
      <c r="B15" t="inlineStr">
        <is>
          <t>엔젤_오프라인_공격_장착</t>
        </is>
      </c>
      <c r="C15" t="inlineStr">
        <is>
          <t>SkillWeapon</t>
        </is>
      </c>
      <c r="D15" s="6" t="n">
        <v>1</v>
      </c>
      <c r="E15" s="3" t="n">
        <v>230014</v>
      </c>
      <c r="F15" t="n">
        <v>-1</v>
      </c>
      <c r="G15" t="n">
        <v>1</v>
      </c>
      <c r="H15" t="n">
        <v>-1</v>
      </c>
      <c r="I15" t="n">
        <v>-1</v>
      </c>
      <c r="J15" s="3" t="n">
        <v>-1</v>
      </c>
    </row>
    <row r="16">
      <c r="A16" t="n">
        <v>3001201</v>
      </c>
      <c r="B16" t="inlineStr">
        <is>
          <t>엔젤_증거인멸_타격</t>
        </is>
      </c>
      <c r="C16" t="inlineStr">
        <is>
          <t>Normal</t>
        </is>
      </c>
      <c r="D16" s="6" t="n">
        <v>3001201</v>
      </c>
      <c r="E16" s="20" t="n">
        <v>30012011</v>
      </c>
      <c r="F16" s="21" t="n">
        <v>-1</v>
      </c>
      <c r="G16" t="n">
        <v>-1</v>
      </c>
      <c r="H16" t="n">
        <v>-1</v>
      </c>
      <c r="I16" t="n">
        <v>-1</v>
      </c>
      <c r="J16" s="3" t="n">
        <v>-1</v>
      </c>
    </row>
    <row r="17">
      <c r="A17" t="n">
        <v>3001202</v>
      </c>
      <c r="B17" t="inlineStr">
        <is>
          <t>엔젤_증거인멸_소환</t>
        </is>
      </c>
      <c r="C17" t="inlineStr">
        <is>
          <t>Normal</t>
        </is>
      </c>
      <c r="D17" s="6" t="n">
        <v>8</v>
      </c>
      <c r="E17" s="20" t="n">
        <v>30012021</v>
      </c>
      <c r="F17" s="21" t="n">
        <v>-1</v>
      </c>
      <c r="G17" t="n">
        <v>-1</v>
      </c>
      <c r="H17" t="n">
        <v>-1</v>
      </c>
      <c r="I17" t="n">
        <v>-1</v>
      </c>
      <c r="J17" s="3" t="n">
        <v>-1</v>
      </c>
    </row>
    <row r="18">
      <c r="A18" t="n">
        <v>3001301</v>
      </c>
      <c r="B18" t="inlineStr">
        <is>
          <t>엔젤_지명수배</t>
        </is>
      </c>
      <c r="C18" t="inlineStr">
        <is>
          <t>SkillWeapon</t>
        </is>
      </c>
      <c r="D18" s="6" t="n">
        <v>1</v>
      </c>
      <c r="E18" s="3" t="n">
        <v>230015</v>
      </c>
      <c r="F18" t="n">
        <v>-1</v>
      </c>
      <c r="G18" t="n">
        <v>1</v>
      </c>
      <c r="H18" t="n">
        <v>-1</v>
      </c>
      <c r="I18" t="n">
        <v>-1</v>
      </c>
      <c r="J18" s="3" t="n">
        <v>-1</v>
      </c>
    </row>
    <row r="19">
      <c r="A19" t="n">
        <v>3002001</v>
      </c>
      <c r="B19" t="inlineStr">
        <is>
          <t>증거인멸_넉백</t>
        </is>
      </c>
      <c r="C19" t="inlineStr">
        <is>
          <t>Normal</t>
        </is>
      </c>
      <c r="D19" s="6" t="n">
        <v>3002001</v>
      </c>
      <c r="E19" s="20" t="n">
        <v>30020011</v>
      </c>
      <c r="F19" s="21" t="n">
        <v>-1</v>
      </c>
      <c r="G19" t="n">
        <v>-1</v>
      </c>
      <c r="H19" t="n">
        <v>-1</v>
      </c>
      <c r="I19" t="n">
        <v>-1</v>
      </c>
      <c r="J19" s="3" t="n">
        <v>-1</v>
      </c>
    </row>
    <row r="20">
      <c r="A20" t="n">
        <v>3002002</v>
      </c>
      <c r="B20" t="inlineStr">
        <is>
          <t>증거인멸_기절</t>
        </is>
      </c>
      <c r="C20" t="inlineStr">
        <is>
          <t>Normal</t>
        </is>
      </c>
      <c r="D20" s="6" t="n">
        <v>3002001</v>
      </c>
      <c r="E20" s="20" t="n">
        <v>30020021</v>
      </c>
      <c r="F20" s="21" t="n">
        <v>30020022</v>
      </c>
      <c r="G20" t="n">
        <v>-1</v>
      </c>
      <c r="H20" t="n">
        <v>-1</v>
      </c>
      <c r="I20" t="n">
        <v>-1</v>
      </c>
      <c r="J20" s="3" t="n">
        <v>-1</v>
      </c>
    </row>
    <row r="21">
      <c r="A21" t="n">
        <v>4001101</v>
      </c>
      <c r="B21" t="inlineStr">
        <is>
          <t>시냅스_불확정역장_발사체 발사</t>
        </is>
      </c>
      <c r="C21" t="inlineStr">
        <is>
          <t>Projectile</t>
        </is>
      </c>
      <c r="D21" t="n">
        <v>4001101</v>
      </c>
      <c r="E21" s="3" t="n">
        <v>-1</v>
      </c>
      <c r="F21" s="3" t="n">
        <v>-1</v>
      </c>
      <c r="G21" t="n">
        <v>-1</v>
      </c>
      <c r="H21" t="n">
        <v>-1</v>
      </c>
      <c r="I21" t="n">
        <v>-1</v>
      </c>
      <c r="J21" s="3" t="n">
        <v>-1</v>
      </c>
    </row>
    <row r="22">
      <c r="A22" t="n">
        <v>4001102</v>
      </c>
      <c r="B22" t="inlineStr">
        <is>
          <t>시냅스_불확정역장_공격 및 디버프</t>
        </is>
      </c>
      <c r="C22" t="inlineStr">
        <is>
          <t>Normal</t>
        </is>
      </c>
      <c r="D22" t="n">
        <v>4001102</v>
      </c>
      <c r="E22" s="3" t="n">
        <v>40011021</v>
      </c>
      <c r="F22" s="3" t="n">
        <v>40011022</v>
      </c>
      <c r="G22" t="n">
        <v>-1</v>
      </c>
      <c r="H22" t="n">
        <v>-1</v>
      </c>
      <c r="I22" t="n">
        <v>-1</v>
      </c>
      <c r="J22" s="3" t="n">
        <v>-1</v>
      </c>
    </row>
    <row r="23">
      <c r="A23" t="n">
        <v>4001103</v>
      </c>
      <c r="B23" t="inlineStr">
        <is>
          <t>시냅스_불확정역장_보호막 및 가속</t>
        </is>
      </c>
      <c r="C23" t="inlineStr">
        <is>
          <t>Normal</t>
        </is>
      </c>
      <c r="D23" t="n">
        <v>4001103</v>
      </c>
      <c r="E23" s="3" t="n">
        <v>40011031</v>
      </c>
      <c r="F23" t="n">
        <v>40011032</v>
      </c>
      <c r="G23" t="n">
        <v>-1</v>
      </c>
      <c r="H23" t="n">
        <v>-1</v>
      </c>
      <c r="I23" t="n">
        <v>-1</v>
      </c>
      <c r="J23" s="3" t="n">
        <v>-1</v>
      </c>
    </row>
    <row r="24">
      <c r="A24" t="n">
        <v>4001104</v>
      </c>
      <c r="B24" t="inlineStr">
        <is>
          <t>시냅스_불확정역장_구체 소환</t>
        </is>
      </c>
      <c r="C24" t="inlineStr">
        <is>
          <t>Normal</t>
        </is>
      </c>
      <c r="D24" t="n">
        <v>4001104</v>
      </c>
      <c r="E24" s="3" t="n">
        <v>40011041</v>
      </c>
      <c r="F24" t="n">
        <v>-1</v>
      </c>
      <c r="G24" t="n">
        <v>-1</v>
      </c>
      <c r="H24" t="n">
        <v>-1</v>
      </c>
      <c r="I24" t="n">
        <v>-1</v>
      </c>
      <c r="J24" s="3" t="n">
        <v>-1</v>
      </c>
    </row>
    <row r="25">
      <c r="A25" t="n">
        <v>4001111</v>
      </c>
      <c r="B25" t="inlineStr">
        <is>
          <t>시냅스_불확정역장_구체 스킬 명령</t>
        </is>
      </c>
      <c r="C25" t="inlineStr">
        <is>
          <t>UseSummonActive</t>
        </is>
      </c>
      <c r="D25" t="n">
        <v>0</v>
      </c>
      <c r="E25" s="3" t="n">
        <v>4002</v>
      </c>
      <c r="F25" t="n">
        <v>0</v>
      </c>
      <c r="G25" t="n">
        <v>-1</v>
      </c>
      <c r="H25" t="n">
        <v>-1</v>
      </c>
      <c r="I25" t="n">
        <v>-1</v>
      </c>
      <c r="J25" s="3" t="n">
        <v>-1</v>
      </c>
    </row>
    <row r="26">
      <c r="A26" t="n">
        <v>4002101</v>
      </c>
      <c r="B26" t="inlineStr">
        <is>
          <t>시냅스_불확정역장_폭발 시 공격 및 디버프</t>
        </is>
      </c>
      <c r="C26" t="inlineStr">
        <is>
          <t>Normal</t>
        </is>
      </c>
      <c r="D26" t="n">
        <v>4002101</v>
      </c>
      <c r="E26" s="3" t="n">
        <v>40011021</v>
      </c>
      <c r="F26" t="n">
        <v>40011022</v>
      </c>
      <c r="G26" t="n">
        <v>-1</v>
      </c>
      <c r="H26" t="n">
        <v>-1</v>
      </c>
      <c r="I26" t="n">
        <v>-1</v>
      </c>
      <c r="J26" s="3" t="n">
        <v>-1</v>
      </c>
    </row>
    <row r="27">
      <c r="A27" t="n">
        <v>4002102</v>
      </c>
      <c r="B27" t="inlineStr">
        <is>
          <t>시냅스_불확정역장_폭발 시 보호막 및 가속</t>
        </is>
      </c>
      <c r="C27" t="inlineStr">
        <is>
          <t>Normal</t>
        </is>
      </c>
      <c r="D27" t="n">
        <v>4002102</v>
      </c>
      <c r="E27" s="3" t="n">
        <v>40011031</v>
      </c>
      <c r="F27" t="n">
        <v>40011032</v>
      </c>
      <c r="G27" t="n">
        <v>-1</v>
      </c>
      <c r="H27" t="n">
        <v>-1</v>
      </c>
      <c r="I27" t="n">
        <v>-1</v>
      </c>
      <c r="J27" s="3" t="n">
        <v>-1</v>
      </c>
    </row>
    <row r="28">
      <c r="A28" t="n">
        <v>4002103</v>
      </c>
      <c r="B28" t="inlineStr">
        <is>
          <t>시냅스_불확정역장_소환물 자살</t>
        </is>
      </c>
      <c r="C28" t="inlineStr">
        <is>
          <t>Normal</t>
        </is>
      </c>
      <c r="D28" t="n">
        <v>1</v>
      </c>
      <c r="E28" s="3" t="n">
        <v>40021031</v>
      </c>
      <c r="F28" t="n">
        <v>-1</v>
      </c>
      <c r="G28" t="n">
        <v>-1</v>
      </c>
      <c r="H28" t="n">
        <v>-1</v>
      </c>
      <c r="I28" t="n">
        <v>-1</v>
      </c>
      <c r="J28" s="3" t="n">
        <v>-1</v>
      </c>
    </row>
    <row r="29">
      <c r="A29" t="n">
        <v>4001201</v>
      </c>
      <c r="B29" t="inlineStr">
        <is>
          <t>시냅스_방해전파장치_장착</t>
        </is>
      </c>
      <c r="C29" t="inlineStr">
        <is>
          <t>SkillWeapon</t>
        </is>
      </c>
      <c r="D29" s="6" t="n">
        <v>1</v>
      </c>
      <c r="E29" s="3" t="n">
        <v>240014</v>
      </c>
      <c r="F29" t="n">
        <v>-1</v>
      </c>
      <c r="G29" t="n">
        <v>2</v>
      </c>
      <c r="H29" t="n">
        <v>-1</v>
      </c>
      <c r="I29" t="n">
        <v>-1</v>
      </c>
      <c r="J29" s="3" t="n">
        <v>-1</v>
      </c>
    </row>
    <row r="30">
      <c r="A30" t="n">
        <v>4001202</v>
      </c>
      <c r="B30" t="inlineStr">
        <is>
          <t>시냅스_방해전파장치_소환</t>
        </is>
      </c>
      <c r="C30" t="inlineStr">
        <is>
          <t>Normal</t>
        </is>
      </c>
      <c r="D30" s="6" t="n">
        <v>8</v>
      </c>
      <c r="E30" s="3" t="n">
        <v>40012021</v>
      </c>
      <c r="F30" t="n">
        <v>-1</v>
      </c>
      <c r="G30" t="n">
        <v>-1</v>
      </c>
      <c r="H30" t="n">
        <v>-1</v>
      </c>
      <c r="I30" t="n">
        <v>-1</v>
      </c>
      <c r="J30" s="3" t="n">
        <v>-1</v>
      </c>
    </row>
    <row r="31">
      <c r="A31" t="n">
        <v>4003001</v>
      </c>
      <c r="B31" t="inlineStr">
        <is>
          <t>방해전파장치_둔화</t>
        </is>
      </c>
      <c r="C31" t="inlineStr">
        <is>
          <t>Normal</t>
        </is>
      </c>
      <c r="D31" t="n">
        <v>4003001</v>
      </c>
      <c r="E31" s="3" t="n">
        <v>40030011</v>
      </c>
      <c r="F31" t="n">
        <v>-1</v>
      </c>
      <c r="G31" t="n">
        <v>-1</v>
      </c>
      <c r="H31" t="n">
        <v>-1</v>
      </c>
      <c r="I31" t="n">
        <v>-1</v>
      </c>
      <c r="J31" s="3" t="n">
        <v>-1</v>
      </c>
    </row>
    <row r="32">
      <c r="A32" t="n">
        <v>4001301</v>
      </c>
      <c r="B32" t="inlineStr">
        <is>
          <t>시냅스_바이러스노드_무기교체</t>
        </is>
      </c>
      <c r="C32" t="inlineStr">
        <is>
          <t>SkillWeapon</t>
        </is>
      </c>
      <c r="D32" s="6" t="n">
        <v>1</v>
      </c>
      <c r="E32" s="3" t="n">
        <v>240015</v>
      </c>
      <c r="F32" t="n">
        <v>-1</v>
      </c>
      <c r="G32" t="n">
        <v>1</v>
      </c>
      <c r="H32" t="n">
        <v>-1</v>
      </c>
      <c r="I32" t="n">
        <v>-1</v>
      </c>
      <c r="J32" s="3" t="n">
        <v>-1</v>
      </c>
    </row>
    <row r="33">
      <c r="A33" t="n">
        <v>4001302</v>
      </c>
      <c r="B33" t="inlineStr">
        <is>
          <t>시냅스_바이러스노드_착탄소환</t>
        </is>
      </c>
      <c r="C33" t="inlineStr">
        <is>
          <t>Normal</t>
        </is>
      </c>
      <c r="D33" s="6" t="n">
        <v>8</v>
      </c>
      <c r="E33" s="3" t="n">
        <v>40013021</v>
      </c>
      <c r="F33" s="14" t="n">
        <v>-1</v>
      </c>
      <c r="G33" s="14" t="n">
        <v>-1</v>
      </c>
      <c r="H33" s="14" t="n">
        <v>-1</v>
      </c>
      <c r="I33" s="14" t="n">
        <v>-1</v>
      </c>
      <c r="J33" s="13" t="n">
        <v>-1</v>
      </c>
    </row>
    <row r="34">
      <c r="A34" t="n">
        <v>4004001</v>
      </c>
      <c r="B34" t="inlineStr">
        <is>
          <t>바이러스노드_죽기 전 펄스 방출 (적 디버프 및 스킬웨폰 파괴)</t>
        </is>
      </c>
      <c r="C34" t="inlineStr">
        <is>
          <t>Normal</t>
        </is>
      </c>
      <c r="D34" t="n">
        <v>4004001</v>
      </c>
      <c r="E34" s="3" t="n">
        <v>40040011</v>
      </c>
      <c r="F34" s="14" t="n">
        <v>40040012</v>
      </c>
      <c r="G34" s="14" t="n">
        <v>-1</v>
      </c>
      <c r="H34" s="14" t="n">
        <v>-1</v>
      </c>
      <c r="I34" s="14" t="n">
        <v>-1</v>
      </c>
      <c r="J34" s="13" t="n">
        <v>-1</v>
      </c>
    </row>
    <row r="35">
      <c r="A35" t="n">
        <v>4004002</v>
      </c>
      <c r="B35" t="inlineStr">
        <is>
          <t>바이러스노드_죽기 전 펄스 방출 (스킬오브젝트 파괴)</t>
        </is>
      </c>
      <c r="C35" t="inlineStr">
        <is>
          <t>Normal</t>
        </is>
      </c>
      <c r="D35" t="n">
        <v>4004002</v>
      </c>
      <c r="E35" s="3" t="n">
        <v>40040021</v>
      </c>
      <c r="F35" s="14" t="n">
        <v>-1</v>
      </c>
      <c r="G35" s="14" t="n">
        <v>-1</v>
      </c>
      <c r="H35" s="14" t="n">
        <v>-1</v>
      </c>
      <c r="I35" s="14" t="n">
        <v>-1</v>
      </c>
      <c r="J35" s="13" t="n">
        <v>-1</v>
      </c>
    </row>
    <row r="36">
      <c r="A36" t="n">
        <v>4004003</v>
      </c>
      <c r="B36" t="inlineStr">
        <is>
          <t>바이러스노드_죽기 전 펄스 방출 (상호작용차단)</t>
        </is>
      </c>
      <c r="C36" t="inlineStr">
        <is>
          <t>Normal</t>
        </is>
      </c>
      <c r="D36" t="n">
        <v>4004003</v>
      </c>
      <c r="E36" s="3" t="n">
        <v>40040031</v>
      </c>
      <c r="F36" s="14" t="n">
        <v>-1</v>
      </c>
      <c r="G36" s="14" t="n">
        <v>-1</v>
      </c>
      <c r="H36" s="14" t="n">
        <v>-1</v>
      </c>
      <c r="I36" s="14" t="n">
        <v>-1</v>
      </c>
      <c r="J36" s="13" t="n">
        <v>-1</v>
      </c>
    </row>
    <row r="37">
      <c r="A37" t="n">
        <v>4004004</v>
      </c>
      <c r="B37" t="inlineStr">
        <is>
          <t>죽기 전 펄스 방출 (공격으로 인해 파괴되었을 때 약화버전 소환)</t>
        </is>
      </c>
      <c r="C37" t="inlineStr">
        <is>
          <t>Normal</t>
        </is>
      </c>
      <c r="D37" t="n">
        <v>1</v>
      </c>
      <c r="E37" s="3" t="n">
        <v>40040041</v>
      </c>
      <c r="F37" s="14" t="n">
        <v>-1</v>
      </c>
      <c r="G37" s="14" t="n">
        <v>-1</v>
      </c>
      <c r="H37" s="14" t="n">
        <v>-1</v>
      </c>
      <c r="I37" s="14" t="n">
        <v>-1</v>
      </c>
      <c r="J37" s="13" t="n">
        <v>-1</v>
      </c>
    </row>
    <row r="38">
      <c r="A38" t="n">
        <v>4005001</v>
      </c>
      <c r="B38" t="inlineStr">
        <is>
          <t>(약화)죽기 전 펄스 방출 (적 디버프 및 스킬웨폰 파괴)</t>
        </is>
      </c>
      <c r="C38" t="inlineStr">
        <is>
          <t>Normal</t>
        </is>
      </c>
      <c r="D38" t="n">
        <v>4005001</v>
      </c>
      <c r="E38" s="3" t="n">
        <v>40050011</v>
      </c>
      <c r="F38" s="14" t="n">
        <v>40050012</v>
      </c>
      <c r="G38" s="14" t="n">
        <v>-1</v>
      </c>
      <c r="H38" s="14" t="n">
        <v>-1</v>
      </c>
      <c r="I38" s="14" t="n">
        <v>-1</v>
      </c>
      <c r="J38" s="13" t="n">
        <v>-1</v>
      </c>
    </row>
    <row r="39">
      <c r="A39" t="n">
        <v>4005002</v>
      </c>
      <c r="B39" t="inlineStr">
        <is>
          <t>(약화)죽기 전 펄스 방출 (스킬오브젝트 파괴)</t>
        </is>
      </c>
      <c r="C39" t="inlineStr">
        <is>
          <t>Normal</t>
        </is>
      </c>
      <c r="D39" t="n">
        <v>4005002</v>
      </c>
      <c r="E39" s="3" t="n">
        <v>40050021</v>
      </c>
      <c r="F39" s="14" t="n">
        <v>-1</v>
      </c>
      <c r="G39" s="14" t="n">
        <v>-1</v>
      </c>
      <c r="H39" s="14" t="n">
        <v>-1</v>
      </c>
      <c r="I39" s="14" t="n">
        <v>-1</v>
      </c>
      <c r="J39" s="13" t="n">
        <v>-1</v>
      </c>
    </row>
    <row r="40">
      <c r="A40" t="n">
        <v>4005003</v>
      </c>
      <c r="B40" t="inlineStr">
        <is>
          <t>(약화)죽기 전 펄스 방출 (상호작용차단)</t>
        </is>
      </c>
      <c r="C40" t="inlineStr">
        <is>
          <t>Normal</t>
        </is>
      </c>
      <c r="D40" t="n">
        <v>4005003</v>
      </c>
      <c r="E40" s="3" t="n">
        <v>40050031</v>
      </c>
      <c r="F40" s="14" t="n">
        <v>-1</v>
      </c>
      <c r="G40" s="14" t="n">
        <v>-1</v>
      </c>
      <c r="H40" s="14" t="n">
        <v>-1</v>
      </c>
      <c r="I40" s="14" t="n">
        <v>-1</v>
      </c>
      <c r="J40" s="13" t="n">
        <v>-1</v>
      </c>
    </row>
    <row r="41">
      <c r="A41" t="n">
        <v>4006001</v>
      </c>
      <c r="B41" t="inlineStr">
        <is>
          <t>방해전파장치_주변의 아군에게 위치 추적 해제 및 면역 부여</t>
        </is>
      </c>
      <c r="C41" t="inlineStr">
        <is>
          <t>Normal</t>
        </is>
      </c>
      <c r="D41" t="n">
        <v>4</v>
      </c>
      <c r="E41" s="3" t="n">
        <v>40060011</v>
      </c>
      <c r="F41" s="14" t="n">
        <v>40060012</v>
      </c>
      <c r="G41" s="14" t="n">
        <v>-1</v>
      </c>
      <c r="H41" s="14" t="n">
        <v>-1</v>
      </c>
      <c r="I41" s="14" t="n">
        <v>-1</v>
      </c>
      <c r="J41" s="13" t="n">
        <v>-1</v>
      </c>
    </row>
    <row r="42">
      <c r="A42" t="n">
        <v>5100102</v>
      </c>
      <c r="B42" t="inlineStr">
        <is>
          <t>전술 방패 파괴 시 주변 아군에 보호막 부여</t>
        </is>
      </c>
      <c r="C42" t="inlineStr">
        <is>
          <t>Normal</t>
        </is>
      </c>
      <c r="D42" s="6" t="n">
        <v>5100102</v>
      </c>
      <c r="E42" s="3" t="n">
        <v>51001021</v>
      </c>
      <c r="F42" t="n">
        <v>-1</v>
      </c>
      <c r="G42" t="n">
        <v>-1</v>
      </c>
      <c r="H42" t="n">
        <v>-1</v>
      </c>
      <c r="I42" t="n">
        <v>-1</v>
      </c>
      <c r="J42" t="n">
        <v>-1</v>
      </c>
    </row>
    <row r="43">
      <c r="A43" t="n">
        <v>54001041</v>
      </c>
      <c r="B43" t="inlineStr">
        <is>
          <t>라운드 시작 시 모든 적에게 위치 추적 효과 부여</t>
        </is>
      </c>
      <c r="C43" t="inlineStr">
        <is>
          <t>Normal</t>
        </is>
      </c>
      <c r="D43" s="6" t="n">
        <v>9</v>
      </c>
      <c r="E43" s="3" t="n">
        <v>54001041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</row>
    <row r="44">
      <c r="A44" t="n">
        <v>54001052</v>
      </c>
      <c r="B44" t="inlineStr">
        <is>
          <t>이동 속도 증가, 라운드 시작 시 이 효과를 아군에게 25초간 부여</t>
        </is>
      </c>
      <c r="C44" t="inlineStr">
        <is>
          <t>Normal</t>
        </is>
      </c>
      <c r="D44" s="6" t="n">
        <v>11</v>
      </c>
      <c r="E44" s="3" t="n">
        <v>54001052</v>
      </c>
      <c r="F44" t="n">
        <v>-1</v>
      </c>
      <c r="G44" t="n">
        <v>-1</v>
      </c>
      <c r="H44" t="n">
        <v>-1</v>
      </c>
      <c r="I44" t="n">
        <v>-1</v>
      </c>
      <c r="J44" s="3" t="n">
        <v>-1</v>
      </c>
    </row>
    <row r="45">
      <c r="A45" t="n">
        <v>6010106</v>
      </c>
      <c r="B45" t="inlineStr">
        <is>
          <t>[강화] 주변 아군에게 임시 보호막과 힐 부여</t>
        </is>
      </c>
      <c r="C45" t="inlineStr">
        <is>
          <t>Normal</t>
        </is>
      </c>
      <c r="D45" s="6" t="n">
        <v>6010106</v>
      </c>
      <c r="E45" s="3" t="n">
        <v>60101061</v>
      </c>
      <c r="F45" t="n">
        <v>60101062</v>
      </c>
      <c r="G45" s="14" t="n">
        <v>-1</v>
      </c>
      <c r="H45" s="14" t="n">
        <v>-1</v>
      </c>
      <c r="I45" s="14" t="n">
        <v>-1</v>
      </c>
      <c r="J45" s="13" t="n">
        <v>-1</v>
      </c>
    </row>
    <row r="47"/>
    <row r="48"/>
    <row r="49"/>
    <row r="50"/>
    <row r="51"/>
    <row r="5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8" sqref="A18"/>
    </sheetView>
  </sheetViews>
  <sheetFormatPr baseColWidth="8" defaultRowHeight="16.5"/>
  <cols>
    <col width="11" bestFit="1" customWidth="1" min="1" max="1"/>
    <col width="42.125" bestFit="1" customWidth="1" min="2" max="2"/>
    <col width="58.25" bestFit="1" customWidth="1" min="3" max="3"/>
    <col width="20.25" bestFit="1" customWidth="1" min="4" max="4"/>
    <col width="23.25" bestFit="1" customWidth="1" min="5" max="5"/>
    <col width="18.75" bestFit="1" customWidth="1" min="6" max="6"/>
    <col width="15.75" bestFit="1" customWidth="1" min="7" max="10"/>
    <col width="22.875" bestFit="1" customWidth="1" min="11" max="11"/>
    <col width="17.25" bestFit="1" customWidth="1" min="12" max="13"/>
    <col width="15" bestFit="1" customWidth="1" min="14" max="14"/>
    <col width="18.25" bestFit="1" customWidth="1" min="15" max="15"/>
    <col width="23.625" bestFit="1" customWidth="1" min="16" max="16"/>
    <col width="23.5" bestFit="1" customWidth="1" min="17" max="17"/>
  </cols>
  <sheetData>
    <row r="1">
      <c r="A1" t="inlineStr">
        <is>
          <t>DataGroup</t>
        </is>
      </c>
      <c r="B1" t="inlineStr">
        <is>
          <t>SkillExecuteRange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exec_target</t>
        </is>
      </c>
      <c r="D2" t="inlineStr">
        <is>
          <t>check_target_num</t>
        </is>
      </c>
      <c r="E2" t="inlineStr">
        <is>
          <t>exec_target_compare</t>
        </is>
      </c>
      <c r="F2" t="inlineStr">
        <is>
          <t>exec_shape_type</t>
        </is>
      </c>
      <c r="G2" t="inlineStr">
        <is>
          <t>shape_value1</t>
        </is>
      </c>
      <c r="H2" t="inlineStr">
        <is>
          <t>shape_value2</t>
        </is>
      </c>
      <c r="I2" t="inlineStr">
        <is>
          <t>shape_value3</t>
        </is>
      </c>
      <c r="J2" t="inlineStr">
        <is>
          <t>shape_value4</t>
        </is>
      </c>
      <c r="K2" t="inlineStr">
        <is>
          <t>spawn_position_type</t>
        </is>
      </c>
      <c r="L2" t="inlineStr">
        <is>
          <t>shape_position</t>
        </is>
      </c>
      <c r="M2" t="inlineStr">
        <is>
          <t>shape_rotation</t>
        </is>
      </c>
      <c r="N2" t="inlineStr">
        <is>
          <t>divide_count</t>
        </is>
      </c>
      <c r="O2" t="inlineStr">
        <is>
          <t>repeat_duration</t>
        </is>
      </c>
      <c r="P2" t="inlineStr">
        <is>
          <t>warning_display_time</t>
        </is>
      </c>
      <c r="Q2" t="inlineStr">
        <is>
          <t>warning_display_type</t>
        </is>
      </c>
    </row>
    <row r="3">
      <c r="A3" t="n">
        <v>0</v>
      </c>
      <c r="B3" t="inlineStr">
        <is>
          <t>ExecuteRange 고려 안함(특수케이스 마킹용)</t>
        </is>
      </c>
      <c r="C3" t="inlineStr">
        <is>
          <t>Own</t>
        </is>
      </c>
      <c r="D3" t="n">
        <v>-1</v>
      </c>
      <c r="E3" t="inlineStr">
        <is>
          <t>None</t>
        </is>
      </c>
      <c r="F3" t="inlineStr">
        <is>
          <t>None</t>
        </is>
      </c>
      <c r="G3" t="n">
        <v>-1</v>
      </c>
      <c r="H3" t="n">
        <v>-1</v>
      </c>
      <c r="I3" t="n">
        <v>-1</v>
      </c>
      <c r="J3" t="n">
        <v>-1</v>
      </c>
      <c r="K3" t="inlineStr">
        <is>
          <t>Follow</t>
        </is>
      </c>
      <c r="L3" t="inlineStr">
        <is>
          <t>0,0,0</t>
        </is>
      </c>
      <c r="M3" t="inlineStr">
        <is>
          <t>0,0,0</t>
        </is>
      </c>
      <c r="N3" t="n">
        <v>1</v>
      </c>
      <c r="O3" t="n">
        <v>-1</v>
      </c>
      <c r="P3" t="n">
        <v>0</v>
      </c>
      <c r="Q3" t="inlineStr">
        <is>
          <t>None</t>
        </is>
      </c>
    </row>
    <row r="4">
      <c r="A4" t="n">
        <v>1</v>
      </c>
      <c r="B4" t="inlineStr">
        <is>
          <t>자기 자신 (Follow)</t>
        </is>
      </c>
      <c r="C4" t="inlineStr">
        <is>
          <t>Own</t>
        </is>
      </c>
      <c r="D4" t="n">
        <v>-1</v>
      </c>
      <c r="E4" t="inlineStr">
        <is>
          <t>None</t>
        </is>
      </c>
      <c r="F4" t="inlineStr">
        <is>
          <t>None</t>
        </is>
      </c>
      <c r="G4" t="n">
        <v>-1</v>
      </c>
      <c r="H4" t="n">
        <v>-1</v>
      </c>
      <c r="I4" t="n">
        <v>-1</v>
      </c>
      <c r="J4" t="n">
        <v>-1</v>
      </c>
      <c r="K4" t="inlineStr">
        <is>
          <t>Follow</t>
        </is>
      </c>
      <c r="L4" t="inlineStr">
        <is>
          <t>0,0,0</t>
        </is>
      </c>
      <c r="M4" t="inlineStr">
        <is>
          <t>0,0,0</t>
        </is>
      </c>
      <c r="N4" t="n">
        <v>1</v>
      </c>
      <c r="O4" t="n">
        <v>-1</v>
      </c>
      <c r="P4" t="n">
        <v>0</v>
      </c>
      <c r="Q4" t="inlineStr">
        <is>
          <t>None</t>
        </is>
      </c>
    </row>
    <row r="5">
      <c r="A5" t="n">
        <v>2</v>
      </c>
      <c r="B5" t="inlineStr">
        <is>
          <t>자기 자신 (CurrentPos)</t>
        </is>
      </c>
      <c r="C5" t="inlineStr">
        <is>
          <t>Own</t>
        </is>
      </c>
      <c r="D5" t="n">
        <v>-1</v>
      </c>
      <c r="E5" t="inlineStr">
        <is>
          <t>None</t>
        </is>
      </c>
      <c r="F5" t="inlineStr">
        <is>
          <t>None</t>
        </is>
      </c>
      <c r="G5" t="n">
        <v>-1</v>
      </c>
      <c r="H5" t="n">
        <v>-1</v>
      </c>
      <c r="I5" t="n">
        <v>-1</v>
      </c>
      <c r="J5" t="n">
        <v>-1</v>
      </c>
      <c r="K5" t="inlineStr">
        <is>
          <t>CurrentPos</t>
        </is>
      </c>
      <c r="L5" t="inlineStr">
        <is>
          <t>0,0,0</t>
        </is>
      </c>
      <c r="M5" t="inlineStr">
        <is>
          <t>0,0,0</t>
        </is>
      </c>
      <c r="N5" t="n">
        <v>1</v>
      </c>
      <c r="O5" t="n">
        <v>-1</v>
      </c>
      <c r="P5" t="n">
        <v>0</v>
      </c>
      <c r="Q5" t="inlineStr">
        <is>
          <t>None</t>
        </is>
      </c>
    </row>
    <row r="6">
      <c r="A6" t="n">
        <v>3</v>
      </c>
      <c r="B6" t="inlineStr">
        <is>
          <t>자기 자신</t>
        </is>
      </c>
      <c r="C6" t="inlineStr">
        <is>
          <t>Own</t>
        </is>
      </c>
      <c r="D6" t="n">
        <v>-1</v>
      </c>
      <c r="E6" t="inlineStr">
        <is>
          <t>None</t>
        </is>
      </c>
      <c r="F6" t="inlineStr">
        <is>
          <t>None</t>
        </is>
      </c>
      <c r="G6" t="n">
        <v>-1</v>
      </c>
      <c r="H6" t="n">
        <v>-1</v>
      </c>
      <c r="I6" t="n">
        <v>-1</v>
      </c>
      <c r="J6" t="n">
        <v>-1</v>
      </c>
      <c r="K6" t="inlineStr">
        <is>
          <t>Follow</t>
        </is>
      </c>
      <c r="L6" t="inlineStr">
        <is>
          <t>0,0,0</t>
        </is>
      </c>
      <c r="M6" t="inlineStr">
        <is>
          <t>0,0,0</t>
        </is>
      </c>
      <c r="N6" t="n">
        <v>1</v>
      </c>
      <c r="O6" t="n">
        <v>-1</v>
      </c>
      <c r="P6" t="n">
        <v>0</v>
      </c>
      <c r="Q6" t="inlineStr">
        <is>
          <t>None</t>
        </is>
      </c>
    </row>
    <row r="7">
      <c r="A7" t="n">
        <v>4</v>
      </c>
      <c r="B7" t="inlineStr">
        <is>
          <t>주변 아군</t>
        </is>
      </c>
      <c r="C7" t="inlineStr">
        <is>
          <t>Party</t>
        </is>
      </c>
      <c r="D7" t="n">
        <v>-1</v>
      </c>
      <c r="E7" t="inlineStr">
        <is>
          <t>None</t>
        </is>
      </c>
      <c r="F7" t="inlineStr">
        <is>
          <t>Arc</t>
        </is>
      </c>
      <c r="G7" t="n">
        <v>1200</v>
      </c>
      <c r="H7" t="n">
        <v>360</v>
      </c>
      <c r="I7" t="n">
        <v>200</v>
      </c>
      <c r="J7" t="n">
        <v>0</v>
      </c>
      <c r="K7" t="inlineStr">
        <is>
          <t>Follow</t>
        </is>
      </c>
      <c r="L7" t="inlineStr">
        <is>
          <t>0,0,0</t>
        </is>
      </c>
      <c r="M7" t="inlineStr">
        <is>
          <t>0,0,0</t>
        </is>
      </c>
      <c r="N7" t="n">
        <v>1</v>
      </c>
      <c r="O7" t="n">
        <v>-1</v>
      </c>
      <c r="P7" t="n">
        <v>0</v>
      </c>
      <c r="Q7" t="inlineStr">
        <is>
          <t>None</t>
        </is>
      </c>
    </row>
    <row r="8">
      <c r="A8" t="n">
        <v>5</v>
      </c>
      <c r="B8" t="inlineStr">
        <is>
          <t>자신을 제외한 주변 아군</t>
        </is>
      </c>
      <c r="C8" t="inlineStr">
        <is>
          <t>Ally</t>
        </is>
      </c>
      <c r="D8" t="n">
        <v>-1</v>
      </c>
      <c r="E8" t="inlineStr">
        <is>
          <t>None</t>
        </is>
      </c>
      <c r="F8" t="inlineStr">
        <is>
          <t>Arc</t>
        </is>
      </c>
      <c r="G8" t="n">
        <v>1200</v>
      </c>
      <c r="H8" t="n">
        <v>360</v>
      </c>
      <c r="I8" t="n">
        <v>200</v>
      </c>
      <c r="J8" t="n">
        <v>0</v>
      </c>
      <c r="K8" t="inlineStr">
        <is>
          <t>Follow</t>
        </is>
      </c>
      <c r="L8" t="inlineStr">
        <is>
          <t>0,0,0</t>
        </is>
      </c>
      <c r="M8" t="inlineStr">
        <is>
          <t>0,0,0</t>
        </is>
      </c>
      <c r="N8" t="n">
        <v>1</v>
      </c>
      <c r="O8" t="n">
        <v>-1</v>
      </c>
      <c r="P8" t="n">
        <v>0</v>
      </c>
      <c r="Q8" t="inlineStr">
        <is>
          <t>None</t>
        </is>
      </c>
    </row>
    <row r="9">
      <c r="A9" t="n">
        <v>6</v>
      </c>
      <c r="B9" t="inlineStr">
        <is>
          <t>주변 적(오브젝트 제외)</t>
        </is>
      </c>
      <c r="C9" t="inlineStr">
        <is>
          <t>EnemyCharacter</t>
        </is>
      </c>
      <c r="D9" t="n">
        <v>2</v>
      </c>
      <c r="E9" t="inlineStr">
        <is>
          <t>None</t>
        </is>
      </c>
      <c r="F9" t="inlineStr">
        <is>
          <t>Arc</t>
        </is>
      </c>
      <c r="G9" t="n">
        <v>1200</v>
      </c>
      <c r="H9" t="n">
        <v>360</v>
      </c>
      <c r="I9" t="n">
        <v>200</v>
      </c>
      <c r="J9" t="n">
        <v>0</v>
      </c>
      <c r="K9" t="inlineStr">
        <is>
          <t>Follow</t>
        </is>
      </c>
      <c r="L9" t="inlineStr">
        <is>
          <t>0,0,0</t>
        </is>
      </c>
      <c r="M9" t="inlineStr">
        <is>
          <t>0,0,0</t>
        </is>
      </c>
      <c r="N9" t="n">
        <v>1</v>
      </c>
      <c r="O9" t="n">
        <v>-1</v>
      </c>
      <c r="P9" t="n">
        <v>0</v>
      </c>
      <c r="Q9" t="inlineStr">
        <is>
          <t>None</t>
        </is>
      </c>
    </row>
    <row r="10">
      <c r="A10" t="n">
        <v>7</v>
      </c>
      <c r="B10" t="inlineStr">
        <is>
          <t>자신의 소환자</t>
        </is>
      </c>
      <c r="C10" t="inlineStr">
        <is>
          <t>Summoner</t>
        </is>
      </c>
      <c r="D10" t="n">
        <v>1</v>
      </c>
      <c r="E10" t="inlineStr">
        <is>
          <t>None</t>
        </is>
      </c>
      <c r="F10" t="inlineStr">
        <is>
          <t>None</t>
        </is>
      </c>
      <c r="G10" t="n">
        <v>-1</v>
      </c>
      <c r="H10" t="n">
        <v>-1</v>
      </c>
      <c r="I10" t="n">
        <v>-1</v>
      </c>
      <c r="J10" t="n">
        <v>-1</v>
      </c>
      <c r="K10" t="inlineStr">
        <is>
          <t>None</t>
        </is>
      </c>
      <c r="L10" t="inlineStr">
        <is>
          <t>0,0,0</t>
        </is>
      </c>
      <c r="M10" t="inlineStr">
        <is>
          <t>0,0,0</t>
        </is>
      </c>
      <c r="N10" t="n">
        <v>1</v>
      </c>
      <c r="O10" t="n">
        <v>-1</v>
      </c>
      <c r="P10" t="n">
        <v>0</v>
      </c>
      <c r="Q10" t="inlineStr">
        <is>
          <t>None</t>
        </is>
      </c>
    </row>
    <row r="11">
      <c r="A11" t="n">
        <v>8</v>
      </c>
      <c r="B11" t="inlineStr">
        <is>
          <t>투척물 소환</t>
        </is>
      </c>
      <c r="C11" t="inlineStr">
        <is>
          <t>OwnProjectile</t>
        </is>
      </c>
      <c r="D11" t="n">
        <v>1</v>
      </c>
      <c r="E11" t="inlineStr">
        <is>
          <t>None</t>
        </is>
      </c>
      <c r="F11" t="inlineStr">
        <is>
          <t>None</t>
        </is>
      </c>
      <c r="G11" t="n">
        <v>-1</v>
      </c>
      <c r="H11" t="n">
        <v>-1</v>
      </c>
      <c r="I11" t="n">
        <v>-1</v>
      </c>
      <c r="J11" t="n">
        <v>-1</v>
      </c>
      <c r="K11" t="inlineStr">
        <is>
          <t>Projectile</t>
        </is>
      </c>
      <c r="L11" t="inlineStr">
        <is>
          <t>0,0,0</t>
        </is>
      </c>
      <c r="M11" t="inlineStr">
        <is>
          <t>0,0,0</t>
        </is>
      </c>
      <c r="N11" t="n">
        <v>1</v>
      </c>
      <c r="O11" t="n">
        <v>-1</v>
      </c>
      <c r="P11" t="n">
        <v>0</v>
      </c>
      <c r="Q11" t="inlineStr">
        <is>
          <t>None</t>
        </is>
      </c>
    </row>
    <row r="12">
      <c r="A12" t="n">
        <v>9</v>
      </c>
      <c r="B12" t="inlineStr">
        <is>
          <t>모든 적</t>
        </is>
      </c>
      <c r="C12" t="inlineStr">
        <is>
          <t>EnemyGlobal</t>
        </is>
      </c>
      <c r="D12" t="n">
        <v>-1</v>
      </c>
      <c r="E12" t="inlineStr">
        <is>
          <t>None</t>
        </is>
      </c>
      <c r="F12" t="inlineStr">
        <is>
          <t>None</t>
        </is>
      </c>
      <c r="G12" t="n">
        <v>-1</v>
      </c>
      <c r="H12" t="n">
        <v>-1</v>
      </c>
      <c r="I12" t="n">
        <v>-1</v>
      </c>
      <c r="J12" t="n">
        <v>-1</v>
      </c>
      <c r="K12" t="inlineStr">
        <is>
          <t>None</t>
        </is>
      </c>
      <c r="L12" t="inlineStr">
        <is>
          <t>0,0,0</t>
        </is>
      </c>
      <c r="M12" t="inlineStr">
        <is>
          <t>0,0,0</t>
        </is>
      </c>
      <c r="N12" t="n">
        <v>1</v>
      </c>
      <c r="O12" t="n">
        <v>-1</v>
      </c>
      <c r="P12" t="n">
        <v>0</v>
      </c>
      <c r="Q12" t="inlineStr">
        <is>
          <t>None</t>
        </is>
      </c>
    </row>
    <row r="13">
      <c r="A13" t="n">
        <v>10</v>
      </c>
      <c r="B13" t="inlineStr">
        <is>
          <t>모든 아군</t>
        </is>
      </c>
      <c r="C13" t="inlineStr">
        <is>
          <t>AllyGlobal</t>
        </is>
      </c>
      <c r="D13" t="n">
        <v>-1</v>
      </c>
      <c r="E13" t="inlineStr">
        <is>
          <t>None</t>
        </is>
      </c>
      <c r="F13" t="inlineStr">
        <is>
          <t>None</t>
        </is>
      </c>
      <c r="G13" t="n">
        <v>-1</v>
      </c>
      <c r="H13" t="n">
        <v>-1</v>
      </c>
      <c r="I13" t="n">
        <v>-1</v>
      </c>
      <c r="J13" t="n">
        <v>-1</v>
      </c>
      <c r="K13" t="inlineStr">
        <is>
          <t>None</t>
        </is>
      </c>
      <c r="L13" t="inlineStr">
        <is>
          <t>0,0,0</t>
        </is>
      </c>
      <c r="M13" t="inlineStr">
        <is>
          <t>0,0,0</t>
        </is>
      </c>
      <c r="N13" t="n">
        <v>1</v>
      </c>
      <c r="O13" t="n">
        <v>-1</v>
      </c>
      <c r="P13" t="n">
        <v>0</v>
      </c>
      <c r="Q13" t="inlineStr">
        <is>
          <t>None</t>
        </is>
      </c>
    </row>
    <row r="14">
      <c r="A14" t="n">
        <v>11</v>
      </c>
      <c r="B14" t="inlineStr">
        <is>
          <t>자신을 제외한 모든 아군</t>
        </is>
      </c>
      <c r="C14" t="inlineStr">
        <is>
          <t>PartyGlobal</t>
        </is>
      </c>
      <c r="D14" t="n">
        <v>-1</v>
      </c>
      <c r="E14" t="inlineStr">
        <is>
          <t>None</t>
        </is>
      </c>
      <c r="F14" t="inlineStr">
        <is>
          <t>None</t>
        </is>
      </c>
      <c r="G14" t="n">
        <v>-1</v>
      </c>
      <c r="H14" t="n">
        <v>-1</v>
      </c>
      <c r="I14" t="n">
        <v>-1</v>
      </c>
      <c r="J14" t="n">
        <v>-1</v>
      </c>
      <c r="K14" t="inlineStr">
        <is>
          <t>None</t>
        </is>
      </c>
      <c r="L14" t="inlineStr">
        <is>
          <t>0,0,0</t>
        </is>
      </c>
      <c r="M14" t="inlineStr">
        <is>
          <t>0,0,0</t>
        </is>
      </c>
      <c r="N14" t="n">
        <v>1</v>
      </c>
      <c r="O14" t="n">
        <v>-1</v>
      </c>
      <c r="P14" t="n">
        <v>0</v>
      </c>
      <c r="Q14" t="inlineStr">
        <is>
          <t>None</t>
        </is>
      </c>
    </row>
    <row r="15">
      <c r="A15" t="n">
        <v>1001211</v>
      </c>
      <c r="B15" t="inlineStr">
        <is>
          <t>프리드웬_돌진_기본버전</t>
        </is>
      </c>
      <c r="C15" t="inlineStr">
        <is>
          <t>Enemy</t>
        </is>
      </c>
      <c r="D15" t="n">
        <v>-1</v>
      </c>
      <c r="E15" t="inlineStr">
        <is>
          <t>None</t>
        </is>
      </c>
      <c r="F15" t="inlineStr">
        <is>
          <t>Box</t>
        </is>
      </c>
      <c r="G15" t="n">
        <v>300</v>
      </c>
      <c r="H15" t="n">
        <v>200</v>
      </c>
      <c r="I15" t="n">
        <v>200</v>
      </c>
      <c r="J15" t="n">
        <v>-1</v>
      </c>
      <c r="K15" t="inlineStr">
        <is>
          <t>Follow</t>
        </is>
      </c>
      <c r="L15" t="inlineStr">
        <is>
          <t>0,0,1</t>
        </is>
      </c>
      <c r="M15" t="inlineStr">
        <is>
          <t>0,0,0</t>
        </is>
      </c>
      <c r="N15" t="n">
        <v>1</v>
      </c>
      <c r="O15" t="n">
        <v>-1</v>
      </c>
      <c r="P15" t="n">
        <v>0</v>
      </c>
      <c r="Q15" t="inlineStr">
        <is>
          <t>None</t>
        </is>
      </c>
    </row>
    <row r="16">
      <c r="A16" t="n">
        <v>1001302</v>
      </c>
      <c r="B16" t="inlineStr">
        <is>
          <t>프리드웬_통각차단_적디버프</t>
        </is>
      </c>
      <c r="C16" t="inlineStr">
        <is>
          <t>Enemy</t>
        </is>
      </c>
      <c r="D16" t="n">
        <v>-1</v>
      </c>
      <c r="E16" t="inlineStr">
        <is>
          <t>None</t>
        </is>
      </c>
      <c r="F16" t="inlineStr">
        <is>
          <t>Arc</t>
        </is>
      </c>
      <c r="G16" t="n">
        <v>400</v>
      </c>
      <c r="H16" t="n">
        <v>360</v>
      </c>
      <c r="I16" t="n">
        <v>300</v>
      </c>
      <c r="J16" t="n">
        <v>0</v>
      </c>
      <c r="K16" t="inlineStr">
        <is>
          <t>Follow</t>
        </is>
      </c>
      <c r="L16" t="inlineStr">
        <is>
          <t>0,0,0</t>
        </is>
      </c>
      <c r="M16" t="inlineStr">
        <is>
          <t>0,0,0</t>
        </is>
      </c>
      <c r="N16" t="n">
        <v>1</v>
      </c>
      <c r="O16" t="n">
        <v>-1</v>
      </c>
      <c r="P16" t="n">
        <v>0</v>
      </c>
      <c r="Q16" t="inlineStr">
        <is>
          <t>None</t>
        </is>
      </c>
    </row>
    <row r="17">
      <c r="A17" t="n">
        <v>3001201</v>
      </c>
      <c r="B17" t="inlineStr">
        <is>
          <t>엔젤_증거인멸</t>
        </is>
      </c>
      <c r="C17" t="inlineStr">
        <is>
          <t>Enemy</t>
        </is>
      </c>
      <c r="D17" t="n">
        <v>1</v>
      </c>
      <c r="E17" t="inlineStr">
        <is>
          <t>None</t>
        </is>
      </c>
      <c r="F17" t="inlineStr">
        <is>
          <t>Projectile</t>
        </is>
      </c>
      <c r="G17" t="n">
        <v>3001301</v>
      </c>
      <c r="H17" t="n">
        <v>-1</v>
      </c>
      <c r="I17" t="n">
        <v>-1</v>
      </c>
      <c r="J17" t="n">
        <v>-1</v>
      </c>
      <c r="K17" t="inlineStr">
        <is>
          <t>None</t>
        </is>
      </c>
      <c r="L17" t="inlineStr">
        <is>
          <t>0,0,0</t>
        </is>
      </c>
      <c r="M17" t="inlineStr">
        <is>
          <t>0,0,0</t>
        </is>
      </c>
      <c r="N17" t="n">
        <v>1</v>
      </c>
      <c r="O17" t="n">
        <v>-1</v>
      </c>
      <c r="P17" t="n">
        <v>0</v>
      </c>
      <c r="Q17" t="inlineStr">
        <is>
          <t>None</t>
        </is>
      </c>
    </row>
    <row r="18">
      <c r="A18" t="n">
        <v>3002001</v>
      </c>
      <c r="B18" t="inlineStr">
        <is>
          <t>증거인멸</t>
        </is>
      </c>
      <c r="C18" t="inlineStr">
        <is>
          <t>Enemy</t>
        </is>
      </c>
      <c r="D18" t="n">
        <v>1</v>
      </c>
      <c r="E18" t="inlineStr">
        <is>
          <t>None</t>
        </is>
      </c>
      <c r="F18" t="inlineStr">
        <is>
          <t>Arc</t>
        </is>
      </c>
      <c r="G18" t="n">
        <v>100</v>
      </c>
      <c r="H18" t="n">
        <v>360</v>
      </c>
      <c r="I18" t="n">
        <v>200</v>
      </c>
      <c r="J18" t="n">
        <v>0</v>
      </c>
      <c r="K18" t="inlineStr">
        <is>
          <t>Follow</t>
        </is>
      </c>
      <c r="L18" t="inlineStr">
        <is>
          <t>0,0,0</t>
        </is>
      </c>
      <c r="M18" t="inlineStr">
        <is>
          <t>0,0,0</t>
        </is>
      </c>
      <c r="N18" t="n">
        <v>1</v>
      </c>
      <c r="O18" t="n">
        <v>-1</v>
      </c>
      <c r="P18" t="n">
        <v>0</v>
      </c>
      <c r="Q18" t="inlineStr">
        <is>
          <t>None</t>
        </is>
      </c>
    </row>
    <row r="19">
      <c r="A19" t="n">
        <v>4001101</v>
      </c>
      <c r="B19" t="inlineStr">
        <is>
          <t>시냅스_불확정역장_발사체 발사</t>
        </is>
      </c>
      <c r="C19" t="inlineStr">
        <is>
          <t>None</t>
        </is>
      </c>
      <c r="D19" t="n">
        <v>-1</v>
      </c>
      <c r="E19" t="inlineStr">
        <is>
          <t>None</t>
        </is>
      </c>
      <c r="F19" t="inlineStr">
        <is>
          <t>Projectile</t>
        </is>
      </c>
      <c r="G19" t="n">
        <v>4001101</v>
      </c>
      <c r="H19" t="n">
        <v>-1</v>
      </c>
      <c r="I19" t="n">
        <v>-1</v>
      </c>
      <c r="J19" t="n">
        <v>-1</v>
      </c>
      <c r="K19" t="inlineStr">
        <is>
          <t>None</t>
        </is>
      </c>
      <c r="L19" t="inlineStr">
        <is>
          <t>0,0,0</t>
        </is>
      </c>
      <c r="M19" t="inlineStr">
        <is>
          <t>0,0,0</t>
        </is>
      </c>
      <c r="N19" t="n">
        <v>1</v>
      </c>
      <c r="O19" t="n">
        <v>-1</v>
      </c>
      <c r="P19" t="n">
        <v>0</v>
      </c>
      <c r="Q19" t="inlineStr">
        <is>
          <t>None</t>
        </is>
      </c>
    </row>
    <row r="20">
      <c r="A20" t="n">
        <v>4001102</v>
      </c>
      <c r="B20" t="inlineStr">
        <is>
          <t>시냅스_불확정역장_공격 및 디버프</t>
        </is>
      </c>
      <c r="C20" t="inlineStr">
        <is>
          <t>Enemy</t>
        </is>
      </c>
      <c r="D20" t="n">
        <v>-1</v>
      </c>
      <c r="E20" t="inlineStr">
        <is>
          <t>None</t>
        </is>
      </c>
      <c r="F20" t="inlineStr">
        <is>
          <t>CurrentTarget</t>
        </is>
      </c>
      <c r="G20" t="n">
        <v>-1</v>
      </c>
      <c r="H20" t="n">
        <v>-1</v>
      </c>
      <c r="I20" t="n">
        <v>-1</v>
      </c>
      <c r="J20" t="n">
        <v>-1</v>
      </c>
      <c r="K20" t="inlineStr">
        <is>
          <t>None</t>
        </is>
      </c>
      <c r="L20" t="inlineStr">
        <is>
          <t>0,0,0</t>
        </is>
      </c>
      <c r="M20" t="inlineStr">
        <is>
          <t>0,0,0</t>
        </is>
      </c>
      <c r="N20" t="n">
        <v>1</v>
      </c>
      <c r="O20" t="n">
        <v>-1</v>
      </c>
      <c r="P20" t="n">
        <v>0</v>
      </c>
      <c r="Q20" t="inlineStr">
        <is>
          <t>None</t>
        </is>
      </c>
    </row>
    <row r="21">
      <c r="A21" t="n">
        <v>4001103</v>
      </c>
      <c r="B21" t="inlineStr">
        <is>
          <t>시냅스_불확정역장_보호막 및 가속</t>
        </is>
      </c>
      <c r="C21" t="inlineStr">
        <is>
          <t>Party</t>
        </is>
      </c>
      <c r="D21" t="n">
        <v>-1</v>
      </c>
      <c r="E21" t="inlineStr">
        <is>
          <t>None</t>
        </is>
      </c>
      <c r="F21" t="inlineStr">
        <is>
          <t>CurrentTarget</t>
        </is>
      </c>
      <c r="G21" t="n">
        <v>-1</v>
      </c>
      <c r="H21" t="n">
        <v>-1</v>
      </c>
      <c r="I21" t="n">
        <v>-1</v>
      </c>
      <c r="J21" t="n">
        <v>-1</v>
      </c>
      <c r="K21" t="inlineStr">
        <is>
          <t>None</t>
        </is>
      </c>
      <c r="L21" t="inlineStr">
        <is>
          <t>0,0,0</t>
        </is>
      </c>
      <c r="M21" t="inlineStr">
        <is>
          <t>0,0,0</t>
        </is>
      </c>
      <c r="N21" t="n">
        <v>1</v>
      </c>
      <c r="O21" t="n">
        <v>-1</v>
      </c>
      <c r="P21" t="n">
        <v>0</v>
      </c>
      <c r="Q21" t="inlineStr">
        <is>
          <t>None</t>
        </is>
      </c>
    </row>
    <row r="22">
      <c r="A22" t="n">
        <v>4001104</v>
      </c>
      <c r="B22" t="inlineStr">
        <is>
          <t>시냅스_불확정역장_구체 소환</t>
        </is>
      </c>
      <c r="C22" t="inlineStr">
        <is>
          <t>OwnProjectile</t>
        </is>
      </c>
      <c r="D22" t="n">
        <v>-1</v>
      </c>
      <c r="E22" t="inlineStr">
        <is>
          <t>None</t>
        </is>
      </c>
      <c r="F22" t="inlineStr">
        <is>
          <t>None</t>
        </is>
      </c>
      <c r="G22" t="n">
        <v>-1</v>
      </c>
      <c r="H22" t="n">
        <v>-1</v>
      </c>
      <c r="I22" t="n">
        <v>-1</v>
      </c>
      <c r="J22" t="n">
        <v>-1</v>
      </c>
      <c r="K22" t="inlineStr">
        <is>
          <t>Projectile</t>
        </is>
      </c>
      <c r="L22" t="inlineStr">
        <is>
          <t>0,0,0</t>
        </is>
      </c>
      <c r="M22" t="inlineStr">
        <is>
          <t>0,0,0</t>
        </is>
      </c>
      <c r="N22" t="n">
        <v>1</v>
      </c>
      <c r="O22" t="n">
        <v>-1</v>
      </c>
      <c r="P22" t="n">
        <v>0</v>
      </c>
      <c r="Q22" t="inlineStr">
        <is>
          <t>None</t>
        </is>
      </c>
    </row>
    <row r="23">
      <c r="A23" t="n">
        <v>4002101</v>
      </c>
      <c r="B23" t="inlineStr">
        <is>
          <t>시냅스_불확정역장_해방 시 공격 및 디버프</t>
        </is>
      </c>
      <c r="C23" t="inlineStr">
        <is>
          <t>Enemy</t>
        </is>
      </c>
      <c r="D23" t="n">
        <v>-1</v>
      </c>
      <c r="E23" t="inlineStr">
        <is>
          <t>None</t>
        </is>
      </c>
      <c r="F23" t="inlineStr">
        <is>
          <t>Arc</t>
        </is>
      </c>
      <c r="G23" t="n">
        <v>800</v>
      </c>
      <c r="H23" t="n">
        <v>360</v>
      </c>
      <c r="I23" t="n">
        <v>300</v>
      </c>
      <c r="J23" t="n">
        <v>0</v>
      </c>
      <c r="K23" t="inlineStr">
        <is>
          <t>Follow</t>
        </is>
      </c>
      <c r="L23" t="inlineStr">
        <is>
          <t>0,0,0</t>
        </is>
      </c>
      <c r="M23" t="inlineStr">
        <is>
          <t>0,0,0</t>
        </is>
      </c>
      <c r="N23" t="n">
        <v>1</v>
      </c>
      <c r="O23" t="n">
        <v>-1</v>
      </c>
      <c r="P23" t="n">
        <v>0</v>
      </c>
      <c r="Q23" t="inlineStr">
        <is>
          <t>None</t>
        </is>
      </c>
    </row>
    <row r="24">
      <c r="A24" t="n">
        <v>4002102</v>
      </c>
      <c r="B24" t="inlineStr">
        <is>
          <t>시냅스_불확정역장_해방 시 보호막 및 가속</t>
        </is>
      </c>
      <c r="C24" t="inlineStr">
        <is>
          <t>Party</t>
        </is>
      </c>
      <c r="D24" t="n">
        <v>-1</v>
      </c>
      <c r="E24" t="inlineStr">
        <is>
          <t>None</t>
        </is>
      </c>
      <c r="F24" t="inlineStr">
        <is>
          <t>Arc</t>
        </is>
      </c>
      <c r="G24" t="n">
        <v>800</v>
      </c>
      <c r="H24" t="n">
        <v>360</v>
      </c>
      <c r="I24" t="n">
        <v>300</v>
      </c>
      <c r="J24" t="n">
        <v>0</v>
      </c>
      <c r="K24" t="inlineStr">
        <is>
          <t>Follow</t>
        </is>
      </c>
      <c r="L24" t="inlineStr">
        <is>
          <t>0,0,0</t>
        </is>
      </c>
      <c r="M24" t="inlineStr">
        <is>
          <t>0,0,0</t>
        </is>
      </c>
      <c r="N24" t="n">
        <v>1</v>
      </c>
      <c r="O24" t="n">
        <v>-1</v>
      </c>
      <c r="P24" t="n">
        <v>0</v>
      </c>
      <c r="Q24" t="inlineStr">
        <is>
          <t>None</t>
        </is>
      </c>
    </row>
    <row r="25">
      <c r="A25" s="15" t="n">
        <v>4003001</v>
      </c>
      <c r="B25" t="inlineStr">
        <is>
          <t>방해전파장치_둔화</t>
        </is>
      </c>
      <c r="C25" t="inlineStr">
        <is>
          <t>Enemy</t>
        </is>
      </c>
      <c r="D25" t="n">
        <v>-1</v>
      </c>
      <c r="E25" t="inlineStr">
        <is>
          <t>None</t>
        </is>
      </c>
      <c r="F25" t="inlineStr">
        <is>
          <t>Arc</t>
        </is>
      </c>
      <c r="G25" t="n">
        <v>150</v>
      </c>
      <c r="H25" t="n">
        <v>360</v>
      </c>
      <c r="I25" t="n">
        <v>200</v>
      </c>
      <c r="J25" t="n">
        <v>0</v>
      </c>
      <c r="K25" t="inlineStr">
        <is>
          <t>Follow</t>
        </is>
      </c>
      <c r="L25" t="inlineStr">
        <is>
          <t>0,0,0</t>
        </is>
      </c>
      <c r="M25" t="inlineStr">
        <is>
          <t>0,0,0</t>
        </is>
      </c>
      <c r="N25" t="n">
        <v>1</v>
      </c>
      <c r="O25" t="n">
        <v>-1</v>
      </c>
      <c r="P25" t="n">
        <v>0</v>
      </c>
      <c r="Q25" t="inlineStr">
        <is>
          <t>None</t>
        </is>
      </c>
    </row>
    <row r="26">
      <c r="A26" t="n">
        <v>4004001</v>
      </c>
      <c r="B26" t="inlineStr">
        <is>
          <t>바이러스노드_죽기 전 펄스 방출 (적 디버프 및 스킬웨폰 파괴)</t>
        </is>
      </c>
      <c r="C26" t="inlineStr">
        <is>
          <t>EnemyCharacter</t>
        </is>
      </c>
      <c r="D26" t="n">
        <v>-1</v>
      </c>
      <c r="E26" t="inlineStr">
        <is>
          <t>None</t>
        </is>
      </c>
      <c r="F26" t="inlineStr">
        <is>
          <t>Arc</t>
        </is>
      </c>
      <c r="G26" t="n">
        <v>400</v>
      </c>
      <c r="H26" t="n">
        <v>360</v>
      </c>
      <c r="I26" t="n">
        <v>200</v>
      </c>
      <c r="J26" t="n">
        <v>0</v>
      </c>
      <c r="K26" t="inlineStr">
        <is>
          <t>Follow</t>
        </is>
      </c>
      <c r="L26" t="inlineStr">
        <is>
          <t>0,0,0</t>
        </is>
      </c>
      <c r="M26" t="inlineStr">
        <is>
          <t>0,0,0</t>
        </is>
      </c>
      <c r="N26" t="n">
        <v>1</v>
      </c>
      <c r="O26" t="n">
        <v>-1</v>
      </c>
      <c r="P26" t="n">
        <v>0</v>
      </c>
      <c r="Q26" t="inlineStr">
        <is>
          <t>None</t>
        </is>
      </c>
    </row>
    <row r="27">
      <c r="A27" t="n">
        <v>4004002</v>
      </c>
      <c r="B27" t="inlineStr">
        <is>
          <t>바이러스노드_죽기 전 펄스 방출 (스킬오브젝트 파괴)</t>
        </is>
      </c>
      <c r="C27" t="inlineStr">
        <is>
          <t>Summoned</t>
        </is>
      </c>
      <c r="D27" t="n">
        <v>-1</v>
      </c>
      <c r="E27" t="inlineStr">
        <is>
          <t>None</t>
        </is>
      </c>
      <c r="F27" s="16">
        <f>F26</f>
        <v/>
      </c>
      <c r="G27" s="16">
        <f>G26</f>
        <v/>
      </c>
      <c r="H27" s="16">
        <f>H26</f>
        <v/>
      </c>
      <c r="I27" s="16">
        <f>I26</f>
        <v/>
      </c>
      <c r="J27" s="16">
        <f>J26</f>
        <v/>
      </c>
      <c r="K27" s="16">
        <f>K26</f>
        <v/>
      </c>
      <c r="L27" s="16">
        <f>L26</f>
        <v/>
      </c>
      <c r="M27" s="16">
        <f>M26</f>
        <v/>
      </c>
      <c r="N27" s="16">
        <f>N26</f>
        <v/>
      </c>
      <c r="O27" s="16">
        <f>O26</f>
        <v/>
      </c>
      <c r="P27" s="16">
        <f>P26</f>
        <v/>
      </c>
      <c r="Q27" s="16">
        <f>Q26</f>
        <v/>
      </c>
    </row>
    <row r="28">
      <c r="A28" t="n">
        <v>4004003</v>
      </c>
      <c r="B28" t="inlineStr">
        <is>
          <t>바이러스노드_죽기 전 펄스 방출 (상호작용차단)</t>
        </is>
      </c>
      <c r="C28" t="inlineStr">
        <is>
          <t>Environment</t>
        </is>
      </c>
      <c r="D28" t="n">
        <v>-1</v>
      </c>
      <c r="E28" t="inlineStr">
        <is>
          <t>None</t>
        </is>
      </c>
      <c r="F28" s="16">
        <f>F26</f>
        <v/>
      </c>
      <c r="G28" s="16">
        <f>G26</f>
        <v/>
      </c>
      <c r="H28" s="16">
        <f>H26</f>
        <v/>
      </c>
      <c r="I28" s="16">
        <f>I26</f>
        <v/>
      </c>
      <c r="J28" s="16">
        <f>J26</f>
        <v/>
      </c>
      <c r="K28" s="16">
        <f>K26</f>
        <v/>
      </c>
      <c r="L28" s="16">
        <f>L26</f>
        <v/>
      </c>
      <c r="M28" s="16">
        <f>M26</f>
        <v/>
      </c>
      <c r="N28" s="16">
        <f>N26</f>
        <v/>
      </c>
      <c r="O28" s="16">
        <f>O26</f>
        <v/>
      </c>
      <c r="P28" s="16">
        <f>P26</f>
        <v/>
      </c>
      <c r="Q28" s="16">
        <f>Q26</f>
        <v/>
      </c>
    </row>
    <row r="29">
      <c r="A29" t="n">
        <v>4005001</v>
      </c>
      <c r="B29" t="inlineStr">
        <is>
          <t>(약화)죽기 전 펄스 방출 (적 디버프 및 스킬웨폰 파괴)</t>
        </is>
      </c>
      <c r="C29" t="inlineStr">
        <is>
          <t>EnemyCharacter</t>
        </is>
      </c>
      <c r="D29" t="n">
        <v>-1</v>
      </c>
      <c r="E29" t="inlineStr">
        <is>
          <t>None</t>
        </is>
      </c>
      <c r="F29" t="inlineStr">
        <is>
          <t>Arc</t>
        </is>
      </c>
      <c r="G29" t="n">
        <v>400</v>
      </c>
      <c r="H29" t="n">
        <v>360</v>
      </c>
      <c r="I29" t="n">
        <v>200</v>
      </c>
      <c r="J29" t="n">
        <v>0</v>
      </c>
      <c r="K29" t="inlineStr">
        <is>
          <t>Follow</t>
        </is>
      </c>
      <c r="L29" t="inlineStr">
        <is>
          <t>0,0,0</t>
        </is>
      </c>
      <c r="M29" t="inlineStr">
        <is>
          <t>0,0,0</t>
        </is>
      </c>
      <c r="N29" t="n">
        <v>1</v>
      </c>
      <c r="O29" t="n">
        <v>-1</v>
      </c>
      <c r="P29" t="n">
        <v>0</v>
      </c>
      <c r="Q29" t="inlineStr">
        <is>
          <t>None</t>
        </is>
      </c>
    </row>
    <row r="30">
      <c r="A30" t="n">
        <v>4005002</v>
      </c>
      <c r="B30" t="inlineStr">
        <is>
          <t>(약화)죽기 전 펄스 방출 (스킬오브젝트 파괴)</t>
        </is>
      </c>
      <c r="C30" t="inlineStr">
        <is>
          <t>Summoned</t>
        </is>
      </c>
      <c r="D30" t="n">
        <v>-1</v>
      </c>
      <c r="E30" t="inlineStr">
        <is>
          <t>None</t>
        </is>
      </c>
      <c r="F30" s="16">
        <f>F29</f>
        <v/>
      </c>
      <c r="G30" s="16">
        <f>G29</f>
        <v/>
      </c>
      <c r="H30" s="16">
        <f>H29</f>
        <v/>
      </c>
      <c r="I30" s="16">
        <f>I29</f>
        <v/>
      </c>
      <c r="J30" s="16">
        <f>J29</f>
        <v/>
      </c>
      <c r="K30" s="16">
        <f>K29</f>
        <v/>
      </c>
      <c r="L30" s="16">
        <f>L29</f>
        <v/>
      </c>
      <c r="M30" s="16">
        <f>M29</f>
        <v/>
      </c>
      <c r="N30" s="16">
        <f>N29</f>
        <v/>
      </c>
      <c r="O30" s="16">
        <f>O29</f>
        <v/>
      </c>
      <c r="P30" s="16">
        <f>P29</f>
        <v/>
      </c>
      <c r="Q30" s="16">
        <f>Q29</f>
        <v/>
      </c>
    </row>
    <row r="31">
      <c r="A31" t="n">
        <v>4005003</v>
      </c>
      <c r="B31" t="inlineStr">
        <is>
          <t>(약화)죽기 전 펄스 방출 (상호작용차단)</t>
        </is>
      </c>
      <c r="C31" t="inlineStr">
        <is>
          <t>Environment</t>
        </is>
      </c>
      <c r="D31" t="n">
        <v>-1</v>
      </c>
      <c r="E31" t="inlineStr">
        <is>
          <t>None</t>
        </is>
      </c>
      <c r="F31" s="16">
        <f>F29</f>
        <v/>
      </c>
      <c r="G31" s="16">
        <f>G29</f>
        <v/>
      </c>
      <c r="H31" s="16">
        <f>H29</f>
        <v/>
      </c>
      <c r="I31" s="16">
        <f>I29</f>
        <v/>
      </c>
      <c r="J31" s="16">
        <f>J29</f>
        <v/>
      </c>
      <c r="K31" s="16">
        <f>K29</f>
        <v/>
      </c>
      <c r="L31" s="16">
        <f>L29</f>
        <v/>
      </c>
      <c r="M31" s="16">
        <f>M29</f>
        <v/>
      </c>
      <c r="N31" s="16">
        <f>N29</f>
        <v/>
      </c>
      <c r="O31" s="16">
        <f>O29</f>
        <v/>
      </c>
      <c r="P31" s="16">
        <f>P29</f>
        <v/>
      </c>
      <c r="Q31" s="16">
        <f>Q29</f>
        <v/>
      </c>
    </row>
    <row r="32">
      <c r="A32" t="n">
        <v>5100102</v>
      </c>
      <c r="B32" t="inlineStr">
        <is>
          <t>전술 방패 파괴 시 주변 아군에 보호막 부여</t>
        </is>
      </c>
      <c r="C32" t="inlineStr">
        <is>
          <t>Party</t>
        </is>
      </c>
      <c r="D32" t="n">
        <v>-1</v>
      </c>
      <c r="E32" t="inlineStr">
        <is>
          <t>None</t>
        </is>
      </c>
      <c r="F32" t="inlineStr">
        <is>
          <t>Arc</t>
        </is>
      </c>
      <c r="G32" t="n">
        <v>1200</v>
      </c>
      <c r="H32" t="n">
        <v>360</v>
      </c>
      <c r="I32" t="n">
        <v>200</v>
      </c>
      <c r="J32" t="n">
        <v>0</v>
      </c>
      <c r="K32" t="inlineStr">
        <is>
          <t>Follow</t>
        </is>
      </c>
      <c r="L32" t="inlineStr">
        <is>
          <t>0,0,0</t>
        </is>
      </c>
      <c r="M32" t="inlineStr">
        <is>
          <t>0,0,0</t>
        </is>
      </c>
      <c r="N32" t="n">
        <v>1</v>
      </c>
      <c r="O32" t="n">
        <v>-1</v>
      </c>
      <c r="P32" t="n">
        <v>0</v>
      </c>
      <c r="Q32" t="inlineStr">
        <is>
          <t>None</t>
        </is>
      </c>
    </row>
    <row r="33">
      <c r="A33" t="n">
        <v>6010106</v>
      </c>
      <c r="B33" t="inlineStr">
        <is>
          <t>[강화] 주변 아군에게 임시 보호막과 힐 부여</t>
        </is>
      </c>
      <c r="C33" t="inlineStr">
        <is>
          <t>Party</t>
        </is>
      </c>
      <c r="D33" t="n">
        <v>-1</v>
      </c>
      <c r="E33" t="inlineStr">
        <is>
          <t>None</t>
        </is>
      </c>
      <c r="F33" t="inlineStr">
        <is>
          <t>Arc</t>
        </is>
      </c>
      <c r="G33" t="n">
        <v>1200</v>
      </c>
      <c r="H33" t="n">
        <v>360</v>
      </c>
      <c r="I33" t="n">
        <v>200</v>
      </c>
      <c r="J33" t="n">
        <v>0</v>
      </c>
      <c r="K33" t="inlineStr">
        <is>
          <t>Follow</t>
        </is>
      </c>
      <c r="L33" t="inlineStr">
        <is>
          <t>0,0,0</t>
        </is>
      </c>
      <c r="M33" t="inlineStr">
        <is>
          <t>0,0,0</t>
        </is>
      </c>
      <c r="N33" t="n">
        <v>1</v>
      </c>
      <c r="O33" t="n">
        <v>-1</v>
      </c>
      <c r="P33" t="n">
        <v>0</v>
      </c>
      <c r="Q33" t="inlineStr">
        <is>
          <t>None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4"/>
  <sheetViews>
    <sheetView tabSelected="1" zoomScale="85" zoomScaleNormal="85" workbookViewId="0">
      <pane xSplit="3" ySplit="2" topLeftCell="G6" activePane="bottomRight" state="frozen"/>
      <selection pane="topRight" activeCell="D1" sqref="D1"/>
      <selection pane="bottomLeft" activeCell="A3" sqref="A3"/>
      <selection pane="bottomRight" activeCell="A19" sqref="A19"/>
    </sheetView>
  </sheetViews>
  <sheetFormatPr baseColWidth="8" defaultRowHeight="16.5"/>
  <cols>
    <col width="11" bestFit="1" customWidth="1" min="1" max="1"/>
    <col width="48.25" customWidth="1" min="2" max="2"/>
    <col width="16.5" bestFit="1" customWidth="1" min="3" max="3"/>
    <col width="13.625" bestFit="1" customWidth="1" min="4" max="4"/>
    <col width="13.875" bestFit="1" customWidth="1" min="5" max="5"/>
    <col width="21.875" bestFit="1" customWidth="1" min="6" max="6"/>
    <col width="15.625" bestFit="1" customWidth="1" min="7" max="7"/>
    <col width="17.5" bestFit="1" customWidth="1" min="8" max="8"/>
    <col width="7.25" bestFit="1" customWidth="1" min="9" max="9"/>
    <col width="15.75" bestFit="1" customWidth="1" min="10" max="12"/>
    <col width="15.75" customWidth="1" min="13" max="13"/>
    <col width="16.75" bestFit="1" customWidth="1" min="14" max="14"/>
    <col width="27" bestFit="1" customWidth="1" min="15" max="15"/>
    <col width="12.875" bestFit="1" customWidth="1" min="16" max="16"/>
    <col width="27.5" bestFit="1" customWidth="1" min="17" max="17"/>
  </cols>
  <sheetData>
    <row r="1">
      <c r="A1" t="inlineStr">
        <is>
          <t>DataGroup</t>
        </is>
      </c>
      <c r="B1" t="inlineStr">
        <is>
          <t>SkillExecuteEffect</t>
        </is>
      </c>
    </row>
    <row r="2">
      <c r="A2" t="inlineStr">
        <is>
          <t>id</t>
        </is>
      </c>
      <c r="B2" s="2" t="inlineStr">
        <is>
          <t>#group_memo</t>
        </is>
      </c>
      <c r="C2" s="2" t="inlineStr">
        <is>
          <t>#name_memo</t>
        </is>
      </c>
      <c r="D2" t="inlineStr">
        <is>
          <t>effect_type</t>
        </is>
      </c>
      <c r="E2" t="inlineStr">
        <is>
          <t>attack_type</t>
        </is>
      </c>
      <c r="F2" t="inlineStr">
        <is>
          <t>damage_type</t>
        </is>
      </c>
      <c r="G2" t="inlineStr">
        <is>
          <t>weapon_type</t>
        </is>
      </c>
      <c r="H2" t="inlineStr">
        <is>
          <t>elemental_type</t>
        </is>
      </c>
      <c r="I2" t="inlineStr">
        <is>
          <t>rate</t>
        </is>
      </c>
      <c r="J2" t="inlineStr">
        <is>
          <t>effect_value1</t>
        </is>
      </c>
      <c r="K2" t="inlineStr">
        <is>
          <t>effect_value2</t>
        </is>
      </c>
      <c r="L2" t="inlineStr">
        <is>
          <t>effect_value3</t>
        </is>
      </c>
      <c r="M2" t="inlineStr">
        <is>
          <t>life_steal_ratio</t>
        </is>
      </c>
      <c r="N2" t="inlineStr">
        <is>
          <t>hit_type</t>
        </is>
      </c>
      <c r="O2" t="inlineStr">
        <is>
          <t>execute_result_display_id</t>
        </is>
      </c>
      <c r="P2" t="inlineStr">
        <is>
          <t>part_hit_id</t>
        </is>
      </c>
      <c r="Q2" t="inlineStr">
        <is>
          <t>caster_result_energy_gain</t>
        </is>
      </c>
    </row>
    <row r="3">
      <c r="A3" s="3" t="n">
        <v>10012011</v>
      </c>
      <c r="B3" t="inlineStr">
        <is>
          <t>프리드웬_돌진_대미지감소_시작</t>
        </is>
      </c>
      <c r="C3" t="inlineStr">
        <is>
          <t>댐감 시작</t>
        </is>
      </c>
      <c r="D3" t="inlineStr">
        <is>
          <t>StatusEffect</t>
        </is>
      </c>
      <c r="E3" t="n">
        <v>0</v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n">
        <v>10000</v>
      </c>
      <c r="J3" t="n">
        <v>10012011</v>
      </c>
      <c r="K3" s="9" t="n">
        <v>1700</v>
      </c>
      <c r="L3" t="n">
        <v>-1</v>
      </c>
      <c r="M3" t="n">
        <v>0</v>
      </c>
      <c r="N3" t="inlineStr">
        <is>
          <t>None</t>
        </is>
      </c>
      <c r="O3" t="n">
        <v>-1</v>
      </c>
      <c r="P3" t="n">
        <v>-1</v>
      </c>
      <c r="Q3" t="n">
        <v>0</v>
      </c>
    </row>
    <row r="4">
      <c r="A4" s="3" t="n">
        <v>10012111</v>
      </c>
      <c r="B4" t="inlineStr">
        <is>
          <t>프리드웬_돌진_기본버전</t>
        </is>
      </c>
      <c r="C4" t="inlineStr">
        <is>
          <t>밀치기</t>
        </is>
      </c>
      <c r="D4" t="inlineStr">
        <is>
          <t>Damage</t>
        </is>
      </c>
      <c r="E4" t="n">
        <v>0</v>
      </c>
      <c r="F4" t="inlineStr">
        <is>
          <t>Normal</t>
        </is>
      </c>
      <c r="G4" t="inlineStr">
        <is>
          <t>None</t>
        </is>
      </c>
      <c r="H4" t="inlineStr">
        <is>
          <t>None</t>
        </is>
      </c>
      <c r="I4" t="n">
        <v>10000</v>
      </c>
      <c r="J4" t="n">
        <v>0</v>
      </c>
      <c r="K4" t="n">
        <v>100</v>
      </c>
      <c r="L4" t="n">
        <v>0</v>
      </c>
      <c r="M4" t="n">
        <v>0</v>
      </c>
      <c r="N4" t="inlineStr">
        <is>
          <t>SuperarmorCrash</t>
        </is>
      </c>
      <c r="O4" t="n">
        <v>10012111</v>
      </c>
      <c r="P4" t="n">
        <v>-1</v>
      </c>
      <c r="Q4" t="n">
        <v>400</v>
      </c>
    </row>
    <row r="5">
      <c r="A5" s="3" t="n">
        <v>10012112</v>
      </c>
      <c r="B5" t="inlineStr">
        <is>
          <t>프리드웬_돌진_기본버전</t>
        </is>
      </c>
      <c r="C5" t="inlineStr">
        <is>
          <t>둔화</t>
        </is>
      </c>
      <c r="D5" t="inlineStr">
        <is>
          <t>StatusEffect</t>
        </is>
      </c>
      <c r="E5" t="n">
        <v>0</v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n">
        <v>10000</v>
      </c>
      <c r="J5" t="n">
        <v>10012112</v>
      </c>
      <c r="K5" t="n">
        <v>3000</v>
      </c>
      <c r="L5" t="n">
        <v>0</v>
      </c>
      <c r="M5" t="n">
        <v>0</v>
      </c>
      <c r="N5" t="inlineStr">
        <is>
          <t>None</t>
        </is>
      </c>
      <c r="O5" t="n">
        <v>-1</v>
      </c>
      <c r="P5" t="n">
        <v>-1</v>
      </c>
      <c r="Q5" t="n">
        <v>0</v>
      </c>
    </row>
    <row r="6">
      <c r="A6" s="3" t="n">
        <v>10012121</v>
      </c>
      <c r="B6" t="inlineStr">
        <is>
          <t>프리드웬_돌진_대미지감소_종료</t>
        </is>
      </c>
      <c r="C6" t="inlineStr">
        <is>
          <t>댐감 종료</t>
        </is>
      </c>
      <c r="D6" t="inlineStr">
        <is>
          <t>StatusEffect</t>
        </is>
      </c>
      <c r="E6" t="n">
        <v>0</v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n">
        <v>10000</v>
      </c>
      <c r="J6" t="n">
        <v>10012121</v>
      </c>
      <c r="K6" t="n">
        <v>1</v>
      </c>
      <c r="L6" t="n">
        <v>0</v>
      </c>
      <c r="M6" t="n">
        <v>0</v>
      </c>
      <c r="N6" t="inlineStr">
        <is>
          <t>None</t>
        </is>
      </c>
      <c r="O6" t="n">
        <v>-1</v>
      </c>
      <c r="P6" t="n">
        <v>-1</v>
      </c>
      <c r="Q6" t="n">
        <v>0</v>
      </c>
    </row>
    <row r="7">
      <c r="A7" t="n">
        <v>10013011</v>
      </c>
      <c r="B7" t="inlineStr">
        <is>
          <t>프리드웬_통각차단_자신버프</t>
        </is>
      </c>
      <c r="C7" t="inlineStr">
        <is>
          <t>버프</t>
        </is>
      </c>
      <c r="D7" t="inlineStr">
        <is>
          <t>StatusEffect</t>
        </is>
      </c>
      <c r="E7" t="n">
        <v>0</v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n">
        <v>10000</v>
      </c>
      <c r="J7" t="n">
        <v>10013011</v>
      </c>
      <c r="K7" t="n">
        <v>5000</v>
      </c>
      <c r="L7" t="n">
        <v>-1</v>
      </c>
      <c r="M7" t="n">
        <v>0</v>
      </c>
      <c r="N7" t="inlineStr">
        <is>
          <t>None</t>
        </is>
      </c>
      <c r="O7" t="n">
        <v>-1</v>
      </c>
      <c r="P7" t="n">
        <v>-1</v>
      </c>
      <c r="Q7" t="n">
        <v>0</v>
      </c>
    </row>
    <row r="8">
      <c r="A8" s="3" t="n">
        <v>10013021</v>
      </c>
      <c r="B8" t="inlineStr">
        <is>
          <t>프리드웬_통각차단_적디버프</t>
        </is>
      </c>
      <c r="C8" t="inlineStr">
        <is>
          <t>디버프</t>
        </is>
      </c>
      <c r="D8" t="inlineStr">
        <is>
          <t>StatusEffect</t>
        </is>
      </c>
      <c r="E8" t="n">
        <v>0</v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n">
        <v>10000</v>
      </c>
      <c r="J8" t="n">
        <v>10013021</v>
      </c>
      <c r="K8" t="n">
        <v>5000</v>
      </c>
      <c r="L8" t="n">
        <v>-1</v>
      </c>
      <c r="M8" t="n">
        <v>0</v>
      </c>
      <c r="N8" t="inlineStr">
        <is>
          <t>None</t>
        </is>
      </c>
      <c r="O8" t="n">
        <v>-1</v>
      </c>
      <c r="P8" t="n">
        <v>-1</v>
      </c>
      <c r="Q8" t="n">
        <v>0</v>
      </c>
    </row>
    <row r="9">
      <c r="A9" s="3" t="n">
        <v>10013022</v>
      </c>
      <c r="B9" t="inlineStr">
        <is>
          <t>프리드웬_통각차단_밀치기</t>
        </is>
      </c>
      <c r="C9" t="inlineStr">
        <is>
          <t>밀치기</t>
        </is>
      </c>
      <c r="D9" t="inlineStr">
        <is>
          <t>Damage</t>
        </is>
      </c>
      <c r="E9" t="n">
        <v>0</v>
      </c>
      <c r="F9" t="inlineStr">
        <is>
          <t>Normal</t>
        </is>
      </c>
      <c r="G9" t="inlineStr">
        <is>
          <t>None</t>
        </is>
      </c>
      <c r="H9" t="inlineStr">
        <is>
          <t>None</t>
        </is>
      </c>
      <c r="I9" t="n">
        <v>10000</v>
      </c>
      <c r="J9" t="n">
        <v>0</v>
      </c>
      <c r="K9" t="n">
        <v>10</v>
      </c>
      <c r="L9" t="n">
        <v>0</v>
      </c>
      <c r="M9" t="n">
        <v>0</v>
      </c>
      <c r="N9" t="inlineStr">
        <is>
          <t>SuperarmorCrash</t>
        </is>
      </c>
      <c r="O9" t="n">
        <v>10013022</v>
      </c>
      <c r="P9" t="n">
        <v>-1</v>
      </c>
      <c r="Q9" t="n">
        <v>0</v>
      </c>
    </row>
    <row r="10">
      <c r="A10" t="n">
        <v>20011011</v>
      </c>
      <c r="B10" t="inlineStr">
        <is>
          <t>카야_전투자극제</t>
        </is>
      </c>
      <c r="C10" t="inlineStr">
        <is>
          <t>버프</t>
        </is>
      </c>
      <c r="D10" t="inlineStr">
        <is>
          <t>StatusEffect</t>
        </is>
      </c>
      <c r="E10" t="n">
        <v>0</v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n">
        <v>10000</v>
      </c>
      <c r="J10" t="n">
        <v>20011011</v>
      </c>
      <c r="K10" t="n">
        <v>8000</v>
      </c>
      <c r="L10" t="n">
        <v>-1</v>
      </c>
      <c r="M10" t="n">
        <v>0</v>
      </c>
      <c r="N10" t="inlineStr">
        <is>
          <t>None</t>
        </is>
      </c>
      <c r="O10" t="n">
        <v>-1</v>
      </c>
      <c r="P10" t="n">
        <v>-1</v>
      </c>
      <c r="Q10" t="n">
        <v>0</v>
      </c>
    </row>
    <row r="11">
      <c r="A11" t="n">
        <v>20011021</v>
      </c>
      <c r="B11" t="inlineStr">
        <is>
          <t>카야_전투자극제_스프레이</t>
        </is>
      </c>
      <c r="C11" t="inlineStr">
        <is>
          <t>버프</t>
        </is>
      </c>
      <c r="D11" t="inlineStr">
        <is>
          <t>StatusEffect</t>
        </is>
      </c>
      <c r="E11" t="n">
        <v>0</v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n">
        <v>10000</v>
      </c>
      <c r="J11" t="n">
        <v>20011021</v>
      </c>
      <c r="K11" t="n">
        <v>8000</v>
      </c>
      <c r="L11" t="n">
        <v>-1</v>
      </c>
      <c r="M11" t="n">
        <v>0</v>
      </c>
      <c r="N11" t="inlineStr">
        <is>
          <t>None</t>
        </is>
      </c>
      <c r="O11" t="n">
        <v>-1</v>
      </c>
      <c r="P11" t="n">
        <v>-1</v>
      </c>
      <c r="Q11" t="n">
        <v>0</v>
      </c>
    </row>
    <row r="12">
      <c r="A12" t="n">
        <v>20012011</v>
      </c>
      <c r="B12" t="inlineStr">
        <is>
          <t>카야_전술기동</t>
        </is>
      </c>
      <c r="C12" t="inlineStr">
        <is>
          <t>버프</t>
        </is>
      </c>
      <c r="D12" t="inlineStr">
        <is>
          <t>StatusEffect</t>
        </is>
      </c>
      <c r="E12" t="n">
        <v>0</v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n">
        <v>10000</v>
      </c>
      <c r="J12" t="n">
        <v>20012011</v>
      </c>
      <c r="K12" t="n">
        <v>3000</v>
      </c>
      <c r="L12" t="n">
        <v>-1</v>
      </c>
      <c r="M12" t="n">
        <v>0</v>
      </c>
      <c r="N12" t="inlineStr">
        <is>
          <t>None</t>
        </is>
      </c>
      <c r="O12" t="n">
        <v>-1</v>
      </c>
      <c r="P12" t="n">
        <v>-1</v>
      </c>
      <c r="Q12" t="n">
        <v>0</v>
      </c>
    </row>
    <row r="13">
      <c r="A13" t="n">
        <v>30010011</v>
      </c>
      <c r="B13" t="inlineStr">
        <is>
          <t>엔젤_사냥감각_추적됨</t>
        </is>
      </c>
      <c r="C13" t="inlineStr">
        <is>
          <t>디버프</t>
        </is>
      </c>
      <c r="D13" t="inlineStr">
        <is>
          <t>StatusEffect</t>
        </is>
      </c>
      <c r="E13" t="n">
        <v>0</v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n">
        <v>10000</v>
      </c>
      <c r="J13" t="n">
        <v>30010011</v>
      </c>
      <c r="K13" t="n">
        <v>8000</v>
      </c>
      <c r="L13" t="n">
        <v>-1</v>
      </c>
      <c r="M13" t="n">
        <v>0</v>
      </c>
      <c r="N13" t="inlineStr">
        <is>
          <t>None</t>
        </is>
      </c>
      <c r="O13" t="n">
        <v>-1</v>
      </c>
      <c r="P13" t="n">
        <v>-1</v>
      </c>
      <c r="Q13" t="n">
        <v>0</v>
      </c>
    </row>
    <row r="14">
      <c r="A14" t="n">
        <v>30011011</v>
      </c>
      <c r="B14" t="inlineStr">
        <is>
          <t>엔젤_오프라인_은신</t>
        </is>
      </c>
      <c r="C14" t="inlineStr">
        <is>
          <t>버프</t>
        </is>
      </c>
      <c r="D14" t="inlineStr">
        <is>
          <t>StatusEffect</t>
        </is>
      </c>
      <c r="E14" t="n">
        <v>0</v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n">
        <v>10000</v>
      </c>
      <c r="J14" t="n">
        <v>30011011</v>
      </c>
      <c r="K14" t="n">
        <v>20000</v>
      </c>
      <c r="L14" t="n">
        <v>-1</v>
      </c>
      <c r="M14" t="n">
        <v>0</v>
      </c>
      <c r="N14" t="inlineStr">
        <is>
          <t>None</t>
        </is>
      </c>
      <c r="O14" t="n">
        <v>-1</v>
      </c>
      <c r="P14" t="n">
        <v>-1</v>
      </c>
      <c r="Q14" t="n">
        <v>0</v>
      </c>
    </row>
    <row r="15">
      <c r="A15" t="n">
        <v>30011111</v>
      </c>
      <c r="B15" t="inlineStr">
        <is>
          <t>엔젤_오프라인_은신_공격</t>
        </is>
      </c>
      <c r="C15" t="inlineStr">
        <is>
          <t>대미지</t>
        </is>
      </c>
      <c r="D15" t="inlineStr">
        <is>
          <t>Damage</t>
        </is>
      </c>
      <c r="E15" t="n">
        <v>0</v>
      </c>
      <c r="F15" t="inlineStr">
        <is>
          <t>Normal</t>
        </is>
      </c>
      <c r="G15" t="inlineStr">
        <is>
          <t>None</t>
        </is>
      </c>
      <c r="H15" t="inlineStr">
        <is>
          <t>None</t>
        </is>
      </c>
      <c r="I15" t="n">
        <v>10000</v>
      </c>
      <c r="J15" t="n">
        <v>0</v>
      </c>
      <c r="K15" t="n">
        <v>70</v>
      </c>
      <c r="L15" t="n">
        <v>0</v>
      </c>
      <c r="M15" t="n">
        <v>0</v>
      </c>
      <c r="N15" t="inlineStr">
        <is>
          <t>SuperarmorCrash</t>
        </is>
      </c>
      <c r="O15" t="n">
        <v>-1</v>
      </c>
      <c r="P15" t="n">
        <v>-1</v>
      </c>
      <c r="Q15" t="n">
        <v>0</v>
      </c>
    </row>
    <row r="16">
      <c r="A16" t="n">
        <v>30011112</v>
      </c>
      <c r="B16" t="inlineStr">
        <is>
          <t>엔젤_오프라인_은신_공격</t>
        </is>
      </c>
      <c r="C16" t="inlineStr">
        <is>
          <t>디버프</t>
        </is>
      </c>
      <c r="D16" t="inlineStr">
        <is>
          <t>StatusEffect</t>
        </is>
      </c>
      <c r="E16" t="n">
        <v>0</v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n">
        <v>10000</v>
      </c>
      <c r="J16" t="n">
        <v>30011112</v>
      </c>
      <c r="K16" t="n">
        <v>8000</v>
      </c>
      <c r="L16" t="n">
        <v>-1</v>
      </c>
      <c r="M16" t="n">
        <v>0</v>
      </c>
      <c r="N16" t="inlineStr">
        <is>
          <t>None</t>
        </is>
      </c>
      <c r="O16" t="n">
        <v>-1</v>
      </c>
      <c r="P16" t="n">
        <v>-1</v>
      </c>
      <c r="Q16" t="n">
        <v>0</v>
      </c>
    </row>
    <row r="17">
      <c r="A17" t="n">
        <v>30012011</v>
      </c>
      <c r="B17" t="inlineStr">
        <is>
          <t>엔젤_증거인멸</t>
        </is>
      </c>
      <c r="C17" t="inlineStr">
        <is>
          <t>대미지</t>
        </is>
      </c>
      <c r="D17" t="inlineStr">
        <is>
          <t>Damage</t>
        </is>
      </c>
      <c r="E17" t="n">
        <v>0</v>
      </c>
      <c r="F17" t="inlineStr">
        <is>
          <t>Normal</t>
        </is>
      </c>
      <c r="G17" t="inlineStr">
        <is>
          <t>None</t>
        </is>
      </c>
      <c r="H17" t="inlineStr">
        <is>
          <t>None</t>
        </is>
      </c>
      <c r="I17" t="n">
        <v>10000</v>
      </c>
      <c r="J17" t="n">
        <v>0</v>
      </c>
      <c r="K17" t="n">
        <v>10</v>
      </c>
      <c r="L17" t="n">
        <v>0</v>
      </c>
      <c r="M17" t="n">
        <v>0</v>
      </c>
      <c r="N17" t="inlineStr">
        <is>
          <t>SuperarmorCrash</t>
        </is>
      </c>
      <c r="O17" t="n">
        <v>30012011</v>
      </c>
      <c r="P17" t="n">
        <v>-1</v>
      </c>
      <c r="Q17" t="n">
        <v>0</v>
      </c>
    </row>
    <row r="18">
      <c r="A18" t="n">
        <v>30012021</v>
      </c>
      <c r="B18" t="inlineStr">
        <is>
          <t>엔젤_증거인멸_소환</t>
        </is>
      </c>
      <c r="C18" t="inlineStr">
        <is>
          <t>소환</t>
        </is>
      </c>
      <c r="D18" t="inlineStr">
        <is>
          <t>Summon</t>
        </is>
      </c>
      <c r="E18" t="n">
        <v>0</v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n">
        <v>10000</v>
      </c>
      <c r="J18" t="n">
        <v>3002</v>
      </c>
      <c r="K18" t="n">
        <v>-1</v>
      </c>
      <c r="L18" t="n">
        <v>0</v>
      </c>
      <c r="M18" t="n">
        <v>0</v>
      </c>
      <c r="N18" t="inlineStr">
        <is>
          <t>None</t>
        </is>
      </c>
      <c r="O18" t="n">
        <v>-1</v>
      </c>
      <c r="P18" t="n">
        <v>-1</v>
      </c>
      <c r="Q18" t="n">
        <v>0</v>
      </c>
    </row>
    <row r="19">
      <c r="A19" t="n">
        <v>30020011</v>
      </c>
      <c r="B19" t="inlineStr">
        <is>
          <t>증거인멸_넉백</t>
        </is>
      </c>
      <c r="C19" t="inlineStr">
        <is>
          <t>대미지</t>
        </is>
      </c>
      <c r="D19" t="inlineStr">
        <is>
          <t>Damage</t>
        </is>
      </c>
      <c r="E19" t="n">
        <v>0</v>
      </c>
      <c r="F19" t="inlineStr">
        <is>
          <t>Normal</t>
        </is>
      </c>
      <c r="G19" t="inlineStr">
        <is>
          <t>None</t>
        </is>
      </c>
      <c r="H19" t="inlineStr">
        <is>
          <t>None</t>
        </is>
      </c>
      <c r="I19" t="n">
        <v>10000</v>
      </c>
      <c r="J19" t="n">
        <v>0</v>
      </c>
      <c r="K19" t="n">
        <v>5</v>
      </c>
      <c r="L19" t="n">
        <v>0</v>
      </c>
      <c r="M19" t="n">
        <v>0</v>
      </c>
      <c r="N19" t="inlineStr">
        <is>
          <t>SuperarmorCrash</t>
        </is>
      </c>
      <c r="O19" t="n">
        <v>30012011</v>
      </c>
      <c r="P19" t="n">
        <v>-1</v>
      </c>
      <c r="Q19" t="n">
        <v>0</v>
      </c>
    </row>
    <row r="20">
      <c r="A20" t="n">
        <v>30020021</v>
      </c>
      <c r="B20" t="inlineStr">
        <is>
          <t>증거인멸_폭발</t>
        </is>
      </c>
      <c r="C20" t="inlineStr">
        <is>
          <t>대미지</t>
        </is>
      </c>
      <c r="D20" t="inlineStr">
        <is>
          <t>Damage</t>
        </is>
      </c>
      <c r="E20" t="n">
        <v>0</v>
      </c>
      <c r="F20" t="inlineStr">
        <is>
          <t>Normal</t>
        </is>
      </c>
      <c r="G20" t="inlineStr">
        <is>
          <t>None</t>
        </is>
      </c>
      <c r="H20" t="inlineStr">
        <is>
          <t>None</t>
        </is>
      </c>
      <c r="I20" t="n">
        <v>10000</v>
      </c>
      <c r="J20" t="n">
        <v>0</v>
      </c>
      <c r="K20" t="n">
        <v>50</v>
      </c>
      <c r="L20" t="n">
        <v>0</v>
      </c>
      <c r="M20" t="n">
        <v>0</v>
      </c>
      <c r="N20" t="inlineStr">
        <is>
          <t>SuperarmorCrash</t>
        </is>
      </c>
      <c r="O20" t="n">
        <v>30020021</v>
      </c>
      <c r="P20" t="n">
        <v>-1</v>
      </c>
      <c r="Q20" t="n">
        <v>0</v>
      </c>
    </row>
    <row r="21">
      <c r="A21" t="n">
        <v>30020022</v>
      </c>
      <c r="B21" t="inlineStr">
        <is>
          <t>증거인멸_기절</t>
        </is>
      </c>
      <c r="C21" t="inlineStr">
        <is>
          <t>디버프</t>
        </is>
      </c>
      <c r="D21" t="inlineStr">
        <is>
          <t>StatusEffect</t>
        </is>
      </c>
      <c r="E21" t="n">
        <v>0</v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n">
        <v>10000</v>
      </c>
      <c r="J21" t="n">
        <v>30012012</v>
      </c>
      <c r="K21" t="n">
        <v>1500</v>
      </c>
      <c r="L21" t="n">
        <v>-1</v>
      </c>
      <c r="M21" t="n">
        <v>0</v>
      </c>
      <c r="N21" t="inlineStr">
        <is>
          <t>None</t>
        </is>
      </c>
      <c r="O21" t="n">
        <v>-1</v>
      </c>
      <c r="P21" t="n">
        <v>-1</v>
      </c>
      <c r="Q21" t="n">
        <v>0</v>
      </c>
    </row>
    <row r="22">
      <c r="A22" s="3" t="n">
        <v>40011021</v>
      </c>
      <c r="B22" t="inlineStr">
        <is>
          <t>시냅스_불확정역장_공격</t>
        </is>
      </c>
      <c r="C22" t="inlineStr">
        <is>
          <t>대미지</t>
        </is>
      </c>
      <c r="D22" t="inlineStr">
        <is>
          <t>Damage</t>
        </is>
      </c>
      <c r="E22" t="n">
        <v>0</v>
      </c>
      <c r="F22" t="inlineStr">
        <is>
          <t>Normal</t>
        </is>
      </c>
      <c r="G22" t="inlineStr">
        <is>
          <t>None</t>
        </is>
      </c>
      <c r="H22" t="inlineStr">
        <is>
          <t>None</t>
        </is>
      </c>
      <c r="I22" t="n">
        <v>10000</v>
      </c>
      <c r="J22" t="n">
        <v>0</v>
      </c>
      <c r="K22" t="n">
        <v>40</v>
      </c>
      <c r="L22" t="n">
        <v>0</v>
      </c>
      <c r="M22" t="n">
        <v>0</v>
      </c>
      <c r="N22" t="inlineStr">
        <is>
          <t>SuperarmorCrash</t>
        </is>
      </c>
      <c r="O22" t="n">
        <v>40011021</v>
      </c>
      <c r="P22" t="n">
        <v>-1</v>
      </c>
      <c r="Q22" t="n">
        <v>400</v>
      </c>
    </row>
    <row r="23">
      <c r="A23" s="3" t="n">
        <v>40011022</v>
      </c>
      <c r="B23" t="inlineStr">
        <is>
          <t>시냅스_불확정역장_디버프</t>
        </is>
      </c>
      <c r="C23" t="inlineStr">
        <is>
          <t>디버프</t>
        </is>
      </c>
      <c r="D23" t="inlineStr">
        <is>
          <t>StatusEffect</t>
        </is>
      </c>
      <c r="E23" t="n">
        <v>0</v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n">
        <v>10000</v>
      </c>
      <c r="J23" t="n">
        <v>40011022</v>
      </c>
      <c r="K23" t="n">
        <v>3000</v>
      </c>
      <c r="L23" t="n">
        <v>-1</v>
      </c>
      <c r="M23" t="n">
        <v>0</v>
      </c>
      <c r="N23" t="inlineStr">
        <is>
          <t>None</t>
        </is>
      </c>
      <c r="O23" t="n">
        <v>-1</v>
      </c>
      <c r="P23" t="n">
        <v>-1</v>
      </c>
      <c r="Q23" t="n">
        <v>400</v>
      </c>
    </row>
    <row r="24">
      <c r="A24" s="3" t="n">
        <v>40011031</v>
      </c>
      <c r="B24" t="inlineStr">
        <is>
          <t>시냅스_불확정역장_보호막</t>
        </is>
      </c>
      <c r="C24" t="inlineStr">
        <is>
          <t>버프</t>
        </is>
      </c>
      <c r="D24" t="inlineStr">
        <is>
          <t>StatusEffect</t>
        </is>
      </c>
      <c r="E24" t="n">
        <v>0</v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n">
        <v>10000</v>
      </c>
      <c r="J24" t="n">
        <v>40011031</v>
      </c>
      <c r="K24" t="n">
        <v>6000</v>
      </c>
      <c r="L24" t="n">
        <v>-1</v>
      </c>
      <c r="M24" t="n">
        <v>0</v>
      </c>
      <c r="N24" t="inlineStr">
        <is>
          <t>None</t>
        </is>
      </c>
      <c r="O24" t="n">
        <v>-1</v>
      </c>
      <c r="P24" t="n">
        <v>-1</v>
      </c>
      <c r="Q24" t="n">
        <v>0</v>
      </c>
    </row>
    <row r="25">
      <c r="A25" t="n">
        <v>40011032</v>
      </c>
      <c r="B25" t="inlineStr">
        <is>
          <t>시냅스_불확정역장_가속</t>
        </is>
      </c>
      <c r="C25" t="inlineStr">
        <is>
          <t>버프</t>
        </is>
      </c>
      <c r="D25" t="inlineStr">
        <is>
          <t>StatusEffect</t>
        </is>
      </c>
      <c r="E25" t="n">
        <v>0</v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n">
        <v>10000</v>
      </c>
      <c r="J25" t="n">
        <v>40011032</v>
      </c>
      <c r="K25" t="n">
        <v>6000</v>
      </c>
      <c r="L25" t="n">
        <v>-1</v>
      </c>
      <c r="M25" t="n">
        <v>0</v>
      </c>
      <c r="N25" t="inlineStr">
        <is>
          <t>None</t>
        </is>
      </c>
      <c r="O25" t="n">
        <v>-1</v>
      </c>
      <c r="P25" t="n">
        <v>-1</v>
      </c>
      <c r="Q25" t="n">
        <v>0</v>
      </c>
    </row>
    <row r="26">
      <c r="A26" t="n">
        <v>40011041</v>
      </c>
      <c r="B26" t="inlineStr">
        <is>
          <t>시냅스_불확정역장_소환</t>
        </is>
      </c>
      <c r="C26" t="inlineStr">
        <is>
          <t>소환</t>
        </is>
      </c>
      <c r="D26" t="inlineStr">
        <is>
          <t>Summon</t>
        </is>
      </c>
      <c r="E26" t="n">
        <v>0</v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n">
        <v>10000</v>
      </c>
      <c r="J26" t="n">
        <v>4002</v>
      </c>
      <c r="K26" t="n">
        <v>-1</v>
      </c>
      <c r="L26" t="n">
        <v>0</v>
      </c>
      <c r="M26" t="n">
        <v>0</v>
      </c>
      <c r="N26" t="inlineStr">
        <is>
          <t>None</t>
        </is>
      </c>
      <c r="O26" t="n">
        <v>-1</v>
      </c>
      <c r="P26" t="n">
        <v>-1</v>
      </c>
      <c r="Q26" t="n">
        <v>0</v>
      </c>
    </row>
    <row r="27">
      <c r="A27" t="n">
        <v>40021031</v>
      </c>
      <c r="B27" t="inlineStr">
        <is>
          <t>시냅스_불확정역장_소환물 자살</t>
        </is>
      </c>
      <c r="C27" t="inlineStr">
        <is>
          <t>소멸</t>
        </is>
      </c>
      <c r="D27" t="inlineStr">
        <is>
          <t>StatusEffect</t>
        </is>
      </c>
      <c r="E27" t="n">
        <v>0</v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n">
        <v>10000</v>
      </c>
      <c r="J27" t="n">
        <v>40021031</v>
      </c>
      <c r="K27" t="n">
        <v>0</v>
      </c>
      <c r="L27" t="n">
        <v>-1</v>
      </c>
      <c r="M27" t="n">
        <v>0</v>
      </c>
      <c r="N27" t="inlineStr">
        <is>
          <t>None</t>
        </is>
      </c>
      <c r="O27" t="n">
        <v>-1</v>
      </c>
      <c r="P27" t="n">
        <v>-1</v>
      </c>
      <c r="Q27" t="n">
        <v>0</v>
      </c>
    </row>
    <row r="28">
      <c r="A28" t="n">
        <v>40012021</v>
      </c>
      <c r="B28" t="inlineStr">
        <is>
          <t>시냅스_방해전파장치_소환</t>
        </is>
      </c>
      <c r="C28" t="inlineStr">
        <is>
          <t>소환</t>
        </is>
      </c>
      <c r="D28" t="inlineStr">
        <is>
          <t>Summon</t>
        </is>
      </c>
      <c r="E28" t="n">
        <v>0</v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n">
        <v>10000</v>
      </c>
      <c r="J28" t="n">
        <v>4003</v>
      </c>
      <c r="K28" t="n">
        <v>-1</v>
      </c>
      <c r="L28" t="n">
        <v>0</v>
      </c>
      <c r="M28" t="n">
        <v>0</v>
      </c>
      <c r="N28" t="inlineStr">
        <is>
          <t>None</t>
        </is>
      </c>
      <c r="O28" t="n">
        <v>-1</v>
      </c>
      <c r="P28" t="n">
        <v>-1</v>
      </c>
      <c r="Q28" t="n">
        <v>0</v>
      </c>
    </row>
    <row r="29">
      <c r="A29" s="13" t="n">
        <v>40013021</v>
      </c>
      <c r="B29" t="inlineStr">
        <is>
          <t>시냅스_바이러스노드_소환</t>
        </is>
      </c>
      <c r="C29" t="inlineStr">
        <is>
          <t>소환</t>
        </is>
      </c>
      <c r="D29" t="inlineStr">
        <is>
          <t>Summon</t>
        </is>
      </c>
      <c r="E29" t="n">
        <v>0</v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n">
        <v>10000</v>
      </c>
      <c r="J29" t="n">
        <v>4004</v>
      </c>
      <c r="K29" t="n">
        <v>-1</v>
      </c>
      <c r="L29" t="n">
        <v>0</v>
      </c>
      <c r="M29" t="n">
        <v>0</v>
      </c>
      <c r="N29" t="inlineStr">
        <is>
          <t>None</t>
        </is>
      </c>
      <c r="O29" t="n">
        <v>-1</v>
      </c>
      <c r="P29" t="n">
        <v>-1</v>
      </c>
      <c r="Q29" t="n">
        <v>0</v>
      </c>
    </row>
    <row r="30">
      <c r="A30" t="n">
        <v>40030011</v>
      </c>
      <c r="B30" s="11" t="inlineStr">
        <is>
          <t>방해전파장치_둔화</t>
        </is>
      </c>
      <c r="C30" t="inlineStr">
        <is>
          <t>디버프</t>
        </is>
      </c>
      <c r="D30" t="inlineStr">
        <is>
          <t>StatusEffect</t>
        </is>
      </c>
      <c r="E30" t="n">
        <v>0</v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n">
        <v>10000</v>
      </c>
      <c r="J30" t="n">
        <v>40030011</v>
      </c>
      <c r="K30" t="n">
        <v>1000</v>
      </c>
      <c r="L30" t="n">
        <v>-1</v>
      </c>
      <c r="M30" t="n">
        <v>0</v>
      </c>
      <c r="N30" t="inlineStr">
        <is>
          <t>None</t>
        </is>
      </c>
      <c r="O30" t="n">
        <v>-1</v>
      </c>
      <c r="P30" t="n">
        <v>-1</v>
      </c>
      <c r="Q30" t="n">
        <v>0</v>
      </c>
    </row>
    <row r="31">
      <c r="A31" t="n">
        <v>40040011</v>
      </c>
      <c r="B31" t="inlineStr">
        <is>
          <t>바이러스노드_죽기 전 펄스 방출 (적 디버프)</t>
        </is>
      </c>
      <c r="C31" t="inlineStr">
        <is>
          <t>디버프</t>
        </is>
      </c>
      <c r="D31" t="inlineStr">
        <is>
          <t>StatusEffect</t>
        </is>
      </c>
      <c r="E31" t="n">
        <v>0</v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n">
        <v>10000</v>
      </c>
      <c r="J31" t="n">
        <v>40040011</v>
      </c>
      <c r="K31" t="n">
        <v>6000</v>
      </c>
      <c r="L31" t="n">
        <v>-1</v>
      </c>
      <c r="M31" t="n">
        <v>0</v>
      </c>
      <c r="N31" t="inlineStr">
        <is>
          <t>None</t>
        </is>
      </c>
      <c r="O31" t="n">
        <v>-1</v>
      </c>
      <c r="P31" t="n">
        <v>-1</v>
      </c>
      <c r="Q31" t="n">
        <v>0</v>
      </c>
    </row>
    <row r="32">
      <c r="A32" t="n">
        <v>40040012</v>
      </c>
      <c r="B32" t="inlineStr">
        <is>
          <t>바이러스노드_죽기 전 펄스 방출 (적 스킬웨폰 파괴</t>
        </is>
      </c>
      <c r="C32" t="inlineStr">
        <is>
          <t>특수</t>
        </is>
      </c>
      <c r="D32" t="inlineStr">
        <is>
          <t>StatusEffect</t>
        </is>
      </c>
      <c r="E32" t="n">
        <v>0</v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n">
        <v>10000</v>
      </c>
      <c r="J32" t="n">
        <v>40040012</v>
      </c>
      <c r="K32" t="n">
        <v>0</v>
      </c>
      <c r="L32" t="n">
        <v>-1</v>
      </c>
      <c r="M32" t="n">
        <v>0</v>
      </c>
      <c r="N32" t="inlineStr">
        <is>
          <t>None</t>
        </is>
      </c>
      <c r="O32" t="n">
        <v>-1</v>
      </c>
      <c r="P32" t="n">
        <v>-1</v>
      </c>
      <c r="Q32" t="n">
        <v>0</v>
      </c>
    </row>
    <row r="33">
      <c r="A33" t="n">
        <v>40040021</v>
      </c>
      <c r="B33" t="inlineStr">
        <is>
          <t>바이러스노드_죽기 전 펄스 방출 (스킬오브젝트 파괴)</t>
        </is>
      </c>
      <c r="C33" t="inlineStr">
        <is>
          <t>특수</t>
        </is>
      </c>
      <c r="D33" t="inlineStr">
        <is>
          <t>Damage</t>
        </is>
      </c>
      <c r="E33" t="n">
        <v>0</v>
      </c>
      <c r="F33" t="inlineStr">
        <is>
          <t>RatioTargetMaxVitality</t>
        </is>
      </c>
      <c r="G33" t="inlineStr">
        <is>
          <t>None</t>
        </is>
      </c>
      <c r="H33" t="inlineStr">
        <is>
          <t>None</t>
        </is>
      </c>
      <c r="I33" t="n">
        <v>10000</v>
      </c>
      <c r="J33" t="n">
        <v>10000</v>
      </c>
      <c r="K33" t="n">
        <v>-1</v>
      </c>
      <c r="L33" t="n">
        <v>-1</v>
      </c>
      <c r="M33" t="n">
        <v>0</v>
      </c>
      <c r="N33" t="inlineStr">
        <is>
          <t>None</t>
        </is>
      </c>
      <c r="O33" t="n">
        <v>-1</v>
      </c>
      <c r="P33" t="n">
        <v>-1</v>
      </c>
      <c r="Q33" t="n">
        <v>0</v>
      </c>
    </row>
    <row r="34">
      <c r="A34" t="n">
        <v>40040031</v>
      </c>
      <c r="B34" t="inlineStr">
        <is>
          <t>바이러스노드_죽기 전 펄스 방출 (상호작용차단)</t>
        </is>
      </c>
      <c r="C34" t="inlineStr">
        <is>
          <t>특수</t>
        </is>
      </c>
      <c r="D34" t="inlineStr">
        <is>
          <t>BlockInteraction</t>
        </is>
      </c>
      <c r="E34" t="n">
        <v>0</v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n">
        <v>10000</v>
      </c>
      <c r="J34" t="n">
        <v>6000</v>
      </c>
      <c r="K34" t="n">
        <v>-1</v>
      </c>
      <c r="L34" t="n">
        <v>-1</v>
      </c>
      <c r="M34" t="n">
        <v>0</v>
      </c>
      <c r="N34" t="inlineStr">
        <is>
          <t>None</t>
        </is>
      </c>
      <c r="O34" t="n">
        <v>-1</v>
      </c>
      <c r="P34" t="n">
        <v>-1</v>
      </c>
      <c r="Q34" t="n">
        <v>0</v>
      </c>
    </row>
    <row r="35">
      <c r="A35" s="23" t="n">
        <v>40040041</v>
      </c>
      <c r="B35" s="11" t="inlineStr">
        <is>
          <t>죽기 전 펄스 방출 (공격으로 인해 파괴되었을 때 약화버전 소환)</t>
        </is>
      </c>
      <c r="C35" t="inlineStr">
        <is>
          <t>소환</t>
        </is>
      </c>
      <c r="D35" t="inlineStr">
        <is>
          <t>Summon</t>
        </is>
      </c>
      <c r="E35" t="n">
        <v>0</v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n">
        <v>10000</v>
      </c>
      <c r="J35" t="n">
        <v>4005</v>
      </c>
      <c r="K35" t="n">
        <v>-1</v>
      </c>
      <c r="L35" t="n">
        <v>0</v>
      </c>
      <c r="M35" t="n">
        <v>0</v>
      </c>
      <c r="N35" t="inlineStr">
        <is>
          <t>None</t>
        </is>
      </c>
      <c r="O35" t="n">
        <v>-1</v>
      </c>
      <c r="P35" t="n">
        <v>-1</v>
      </c>
      <c r="Q35" t="n">
        <v>0</v>
      </c>
    </row>
    <row r="36">
      <c r="A36" t="n">
        <v>40050011</v>
      </c>
      <c r="B36" t="inlineStr">
        <is>
          <t>(약화)바이러스노드_죽기 전 펄스 방출 (적 디버프)</t>
        </is>
      </c>
      <c r="C36" t="inlineStr">
        <is>
          <t>특수</t>
        </is>
      </c>
      <c r="D36" t="inlineStr">
        <is>
          <t>StatusEffect</t>
        </is>
      </c>
      <c r="E36" t="n">
        <v>0</v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n">
        <v>10000</v>
      </c>
      <c r="J36" t="n">
        <v>40040011</v>
      </c>
      <c r="K36" t="n">
        <v>3000</v>
      </c>
      <c r="L36" t="n">
        <v>-1</v>
      </c>
      <c r="M36" t="n">
        <v>0</v>
      </c>
      <c r="N36" t="inlineStr">
        <is>
          <t>None</t>
        </is>
      </c>
      <c r="O36" t="n">
        <v>-1</v>
      </c>
      <c r="P36" t="n">
        <v>-1</v>
      </c>
      <c r="Q36" t="n">
        <v>0</v>
      </c>
    </row>
    <row r="37">
      <c r="A37" t="n">
        <v>40050012</v>
      </c>
      <c r="B37" t="inlineStr">
        <is>
          <t>(약화)바이러스노드_죽기 전 펄스 방출 (적 스킬웨폰 파괴</t>
        </is>
      </c>
      <c r="C37" t="inlineStr">
        <is>
          <t>특수</t>
        </is>
      </c>
      <c r="D37" t="inlineStr">
        <is>
          <t>StatusEffect</t>
        </is>
      </c>
      <c r="E37" t="n">
        <v>0</v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n">
        <v>10000</v>
      </c>
      <c r="J37" t="n">
        <v>40040012</v>
      </c>
      <c r="K37" t="n">
        <v>0</v>
      </c>
      <c r="L37" t="n">
        <v>-1</v>
      </c>
      <c r="M37" t="n">
        <v>0</v>
      </c>
      <c r="N37" t="inlineStr">
        <is>
          <t>None</t>
        </is>
      </c>
      <c r="O37" t="n">
        <v>-1</v>
      </c>
      <c r="P37" t="n">
        <v>-1</v>
      </c>
      <c r="Q37" t="n">
        <v>0</v>
      </c>
    </row>
    <row r="38">
      <c r="A38" t="n">
        <v>40050021</v>
      </c>
      <c r="B38" t="inlineStr">
        <is>
          <t>(약화)바이러스노드_죽기 전 펄스 방출 (스킬오브젝트 파괴)</t>
        </is>
      </c>
      <c r="C38" t="inlineStr">
        <is>
          <t>특수</t>
        </is>
      </c>
      <c r="D38" t="inlineStr">
        <is>
          <t>Damage</t>
        </is>
      </c>
      <c r="E38" t="n">
        <v>0</v>
      </c>
      <c r="F38" t="inlineStr">
        <is>
          <t>RatioTargetMaxVitality</t>
        </is>
      </c>
      <c r="G38" t="inlineStr">
        <is>
          <t>None</t>
        </is>
      </c>
      <c r="H38" t="inlineStr">
        <is>
          <t>None</t>
        </is>
      </c>
      <c r="I38" t="n">
        <v>10000</v>
      </c>
      <c r="J38" t="n">
        <v>5000</v>
      </c>
      <c r="K38" t="n">
        <v>-1</v>
      </c>
      <c r="L38" t="n">
        <v>-1</v>
      </c>
      <c r="M38" t="n">
        <v>0</v>
      </c>
      <c r="N38" t="inlineStr">
        <is>
          <t>None</t>
        </is>
      </c>
      <c r="O38" t="n">
        <v>-1</v>
      </c>
      <c r="P38" t="n">
        <v>-1</v>
      </c>
      <c r="Q38" t="n">
        <v>0</v>
      </c>
    </row>
    <row r="39">
      <c r="A39" t="n">
        <v>40050031</v>
      </c>
      <c r="B39" t="inlineStr">
        <is>
          <t>(약화)바이러스노드_죽기 전 펄스 방출 (상호작용차단)</t>
        </is>
      </c>
      <c r="C39" t="inlineStr">
        <is>
          <t>특수</t>
        </is>
      </c>
      <c r="D39" t="inlineStr">
        <is>
          <t>BlockInteraction</t>
        </is>
      </c>
      <c r="E39" t="n">
        <v>0</v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n">
        <v>10000</v>
      </c>
      <c r="J39" t="n">
        <v>6000</v>
      </c>
      <c r="K39" t="n">
        <v>-1</v>
      </c>
      <c r="L39" t="n">
        <v>-1</v>
      </c>
      <c r="M39" t="n">
        <v>0</v>
      </c>
      <c r="N39" t="inlineStr">
        <is>
          <t>None</t>
        </is>
      </c>
      <c r="O39" t="n">
        <v>-1</v>
      </c>
      <c r="P39" t="n">
        <v>-1</v>
      </c>
      <c r="Q39" t="n">
        <v>0</v>
      </c>
    </row>
    <row r="40">
      <c r="A40" t="n">
        <v>40060011</v>
      </c>
      <c r="B40" t="inlineStr">
        <is>
          <t>방해전파장치_주변의 아군에게 위치 추적 면역 부여</t>
        </is>
      </c>
      <c r="C40" t="inlineStr">
        <is>
          <t>버프</t>
        </is>
      </c>
      <c r="D40" t="inlineStr">
        <is>
          <t>StatusEffect</t>
        </is>
      </c>
      <c r="E40" t="n">
        <v>0</v>
      </c>
      <c r="F40" t="inlineStr">
        <is>
          <t>None</t>
        </is>
      </c>
      <c r="G40" t="inlineStr">
        <is>
          <t>None</t>
        </is>
      </c>
      <c r="H40" t="inlineStr">
        <is>
          <t>None</t>
        </is>
      </c>
      <c r="I40" t="n">
        <v>10000</v>
      </c>
      <c r="J40" t="n">
        <v>830</v>
      </c>
      <c r="K40" t="n">
        <v>2000</v>
      </c>
      <c r="L40" t="n">
        <v>-1</v>
      </c>
      <c r="M40" t="n">
        <v>0</v>
      </c>
      <c r="N40" t="inlineStr">
        <is>
          <t>None</t>
        </is>
      </c>
      <c r="O40" t="n">
        <v>-1</v>
      </c>
      <c r="P40" t="n">
        <v>-1</v>
      </c>
      <c r="Q40" t="n">
        <v>0</v>
      </c>
    </row>
    <row r="41">
      <c r="A41" t="n">
        <v>40060012</v>
      </c>
      <c r="B41" t="inlineStr">
        <is>
          <t>방해전파장치_주변의 아군에게 위치 추적 해제</t>
        </is>
      </c>
      <c r="C41" t="inlineStr">
        <is>
          <t>버프</t>
        </is>
      </c>
      <c r="D41" t="inlineStr">
        <is>
          <t>StatusEffect</t>
        </is>
      </c>
      <c r="E41" t="n">
        <v>0</v>
      </c>
      <c r="F41" t="inlineStr">
        <is>
          <t>None</t>
        </is>
      </c>
      <c r="G41" t="inlineStr">
        <is>
          <t>None</t>
        </is>
      </c>
      <c r="H41" t="inlineStr">
        <is>
          <t>None</t>
        </is>
      </c>
      <c r="I41" t="n">
        <v>10000</v>
      </c>
      <c r="J41" t="n">
        <v>31</v>
      </c>
      <c r="K41" t="n">
        <v>100</v>
      </c>
      <c r="L41" t="n">
        <v>-1</v>
      </c>
      <c r="M41" t="n">
        <v>0</v>
      </c>
      <c r="N41" t="inlineStr">
        <is>
          <t>None</t>
        </is>
      </c>
      <c r="O41" t="n">
        <v>-1</v>
      </c>
      <c r="P41" t="n">
        <v>-1</v>
      </c>
      <c r="Q41" t="n">
        <v>0</v>
      </c>
    </row>
    <row r="42">
      <c r="A42" t="n">
        <v>51001011</v>
      </c>
      <c r="B42" t="inlineStr">
        <is>
          <t>돌진으로 입힌 피해 일부 흡수</t>
        </is>
      </c>
      <c r="C42" t="inlineStr">
        <is>
          <t>밀치기</t>
        </is>
      </c>
      <c r="D42" t="inlineStr">
        <is>
          <t>Damage</t>
        </is>
      </c>
      <c r="E42" t="n">
        <v>0</v>
      </c>
      <c r="F42" t="inlineStr">
        <is>
          <t>Normal</t>
        </is>
      </c>
      <c r="G42" t="inlineStr">
        <is>
          <t>None</t>
        </is>
      </c>
      <c r="H42" t="inlineStr">
        <is>
          <t>None</t>
        </is>
      </c>
      <c r="I42" t="n">
        <v>10000</v>
      </c>
      <c r="J42" t="n">
        <v>0</v>
      </c>
      <c r="K42" t="n">
        <v>100</v>
      </c>
      <c r="L42" t="n">
        <v>0</v>
      </c>
      <c r="M42" t="n">
        <v>5000</v>
      </c>
      <c r="N42" t="inlineStr">
        <is>
          <t>SuperarmorCrash</t>
        </is>
      </c>
      <c r="O42" t="n">
        <v>10012111</v>
      </c>
      <c r="P42" t="n">
        <v>-1</v>
      </c>
      <c r="Q42" t="n">
        <v>400</v>
      </c>
    </row>
    <row r="43">
      <c r="A43" t="n">
        <v>51001021</v>
      </c>
      <c r="B43" t="inlineStr">
        <is>
          <t>전술 방패 파괴 시 주변 아군에 보호막 부여</t>
        </is>
      </c>
      <c r="C43" t="inlineStr">
        <is>
          <t>버프</t>
        </is>
      </c>
      <c r="D43" t="inlineStr">
        <is>
          <t>StatusEffect</t>
        </is>
      </c>
      <c r="E43" t="n">
        <v>0</v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n">
        <v>10000</v>
      </c>
      <c r="J43" t="n">
        <v>51001021</v>
      </c>
      <c r="K43" t="n">
        <v>3000</v>
      </c>
      <c r="L43" t="n">
        <v>-1</v>
      </c>
      <c r="M43" t="n">
        <v>0</v>
      </c>
      <c r="N43" t="inlineStr">
        <is>
          <t>None</t>
        </is>
      </c>
      <c r="O43" t="n">
        <v>-1</v>
      </c>
      <c r="P43" t="n">
        <v>-1</v>
      </c>
      <c r="Q43" t="n">
        <v>0</v>
      </c>
    </row>
    <row r="44">
      <c r="A44" t="n">
        <v>52001021</v>
      </c>
      <c r="B44" t="inlineStr">
        <is>
          <t>전투 자극제 사용 시 잠시 무한 탄창</t>
        </is>
      </c>
      <c r="C44" t="inlineStr">
        <is>
          <t>버프</t>
        </is>
      </c>
      <c r="D44" t="inlineStr">
        <is>
          <t>StatusEffect</t>
        </is>
      </c>
      <c r="E44" t="n">
        <v>0</v>
      </c>
      <c r="F44" t="inlineStr">
        <is>
          <t>None</t>
        </is>
      </c>
      <c r="G44" t="inlineStr">
        <is>
          <t>None</t>
        </is>
      </c>
      <c r="H44" t="inlineStr">
        <is>
          <t>None</t>
        </is>
      </c>
      <c r="I44" t="n">
        <v>10000</v>
      </c>
      <c r="J44" t="n">
        <v>52001021</v>
      </c>
      <c r="K44" t="n">
        <v>2500</v>
      </c>
      <c r="L44" t="n">
        <v>-1</v>
      </c>
      <c r="M44" t="n">
        <v>0</v>
      </c>
      <c r="N44" t="inlineStr">
        <is>
          <t>None</t>
        </is>
      </c>
      <c r="O44" t="n">
        <v>-1</v>
      </c>
      <c r="P44" t="n">
        <v>-1</v>
      </c>
      <c r="Q44" t="n">
        <v>0</v>
      </c>
    </row>
    <row r="45">
      <c r="A45" s="3" t="n">
        <v>52001062</v>
      </c>
      <c r="B45" t="inlineStr">
        <is>
          <t>전술 기동 쿨다운 감소, 전술 기동 사용 후 보호막 획득</t>
        </is>
      </c>
      <c r="C45" t="inlineStr">
        <is>
          <t>버프</t>
        </is>
      </c>
      <c r="D45" t="inlineStr">
        <is>
          <t>StatusEffect</t>
        </is>
      </c>
      <c r="E45" t="n">
        <v>0</v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  <c r="I45" t="n">
        <v>10000</v>
      </c>
      <c r="J45" t="n">
        <v>52001062</v>
      </c>
      <c r="K45" t="n">
        <v>3000</v>
      </c>
      <c r="L45" t="n">
        <v>-1</v>
      </c>
      <c r="M45" t="n">
        <v>0</v>
      </c>
      <c r="N45" t="inlineStr">
        <is>
          <t>None</t>
        </is>
      </c>
      <c r="O45" t="n">
        <v>-1</v>
      </c>
      <c r="P45" t="n">
        <v>-1</v>
      </c>
      <c r="Q45" t="n">
        <v>0</v>
      </c>
    </row>
    <row r="46">
      <c r="A46" s="3" t="n">
        <v>53001021</v>
      </c>
      <c r="B46" t="inlineStr">
        <is>
          <t>증거인멸로 기절시킨 대상이 받는 피해 증가</t>
        </is>
      </c>
      <c r="C46" t="inlineStr">
        <is>
          <t>디버프</t>
        </is>
      </c>
      <c r="D46" t="inlineStr">
        <is>
          <t>StatusEffect</t>
        </is>
      </c>
      <c r="E46" t="n">
        <v>0</v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  <c r="I46" t="n">
        <v>10000</v>
      </c>
      <c r="J46" t="n">
        <v>53001021</v>
      </c>
      <c r="K46" t="n">
        <v>4000</v>
      </c>
      <c r="L46" t="n">
        <v>-1</v>
      </c>
      <c r="M46" t="n">
        <v>0</v>
      </c>
      <c r="N46" t="inlineStr">
        <is>
          <t>None</t>
        </is>
      </c>
      <c r="O46" t="n">
        <v>-1</v>
      </c>
      <c r="P46" t="n">
        <v>-1</v>
      </c>
      <c r="Q46" t="n">
        <v>0</v>
      </c>
    </row>
    <row r="47">
      <c r="A47" s="3" t="n">
        <v>53001041</v>
      </c>
      <c r="B47" t="inlineStr">
        <is>
          <t>오프라인 암기 적중 시 보호막 획득</t>
        </is>
      </c>
      <c r="C47" t="inlineStr">
        <is>
          <t>버프</t>
        </is>
      </c>
      <c r="D47" t="inlineStr">
        <is>
          <t>StatusEffect</t>
        </is>
      </c>
      <c r="E47" t="n">
        <v>0</v>
      </c>
      <c r="F47" t="inlineStr">
        <is>
          <t>None</t>
        </is>
      </c>
      <c r="G47" t="inlineStr">
        <is>
          <t>None</t>
        </is>
      </c>
      <c r="H47" t="inlineStr">
        <is>
          <t>None</t>
        </is>
      </c>
      <c r="I47" t="n">
        <v>10000</v>
      </c>
      <c r="J47" t="n">
        <v>53001041</v>
      </c>
      <c r="K47" t="n">
        <v>6000</v>
      </c>
      <c r="L47" t="n">
        <v>-1</v>
      </c>
      <c r="M47" t="n">
        <v>0</v>
      </c>
      <c r="N47" t="inlineStr">
        <is>
          <t>None</t>
        </is>
      </c>
      <c r="O47" t="n">
        <v>-1</v>
      </c>
      <c r="P47" t="n">
        <v>-1</v>
      </c>
      <c r="Q47" t="n">
        <v>0</v>
      </c>
    </row>
    <row r="48">
      <c r="A48" s="3" t="n">
        <v>54001011</v>
      </c>
      <c r="B48" t="inlineStr">
        <is>
          <t>불확정 역장에 아군의 궁극기 게이지를 충전하는 효과 추가</t>
        </is>
      </c>
      <c r="C48" t="inlineStr">
        <is>
          <t>버프</t>
        </is>
      </c>
      <c r="D48" t="inlineStr">
        <is>
          <t>StatusEffect</t>
        </is>
      </c>
      <c r="E48" t="n">
        <v>0</v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  <c r="I48" t="n">
        <v>10000</v>
      </c>
      <c r="J48" t="n">
        <v>54001011</v>
      </c>
      <c r="K48" t="n">
        <v>0</v>
      </c>
      <c r="L48" t="n">
        <v>-1</v>
      </c>
      <c r="M48" t="n">
        <v>0</v>
      </c>
      <c r="N48" t="inlineStr">
        <is>
          <t>None</t>
        </is>
      </c>
      <c r="O48" t="n">
        <v>-1</v>
      </c>
      <c r="P48" t="n">
        <v>-1</v>
      </c>
      <c r="Q48" t="n">
        <v>0</v>
      </c>
    </row>
    <row r="49">
      <c r="A49" s="3" t="n">
        <v>54001021</v>
      </c>
      <c r="B49" t="inlineStr">
        <is>
          <t>불확정 역장에 적군의 받는 피해를 증가시키는 효과 추가</t>
        </is>
      </c>
      <c r="C49" t="inlineStr">
        <is>
          <t>디버프</t>
        </is>
      </c>
      <c r="D49" t="inlineStr">
        <is>
          <t>StatusEffect</t>
        </is>
      </c>
      <c r="E49" t="n">
        <v>0</v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  <c r="I49" t="n">
        <v>10000</v>
      </c>
      <c r="J49" t="n">
        <v>54001021</v>
      </c>
      <c r="K49" t="n">
        <v>10000</v>
      </c>
      <c r="L49" t="n">
        <v>-1</v>
      </c>
      <c r="M49" t="n">
        <v>0</v>
      </c>
      <c r="N49" t="inlineStr">
        <is>
          <t>None</t>
        </is>
      </c>
      <c r="O49" t="n">
        <v>-1</v>
      </c>
      <c r="P49" t="n">
        <v>-1</v>
      </c>
      <c r="Q49" t="n">
        <v>0</v>
      </c>
    </row>
    <row r="50">
      <c r="A50" s="3" t="n">
        <v>54001031</v>
      </c>
      <c r="B50" t="inlineStr">
        <is>
          <t>방해 전파 지대 주변의 아군에게 위치 추적 해제 및 면역 부여</t>
        </is>
      </c>
      <c r="C50" t="inlineStr">
        <is>
          <t>소환</t>
        </is>
      </c>
      <c r="D50" t="inlineStr">
        <is>
          <t>Summon</t>
        </is>
      </c>
      <c r="E50" t="n">
        <v>0</v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n">
        <v>10000</v>
      </c>
      <c r="J50" t="n">
        <v>4006</v>
      </c>
      <c r="K50" t="n">
        <v>-1</v>
      </c>
      <c r="L50" t="n">
        <v>0</v>
      </c>
      <c r="M50" t="n">
        <v>0</v>
      </c>
      <c r="N50" t="inlineStr">
        <is>
          <t>None</t>
        </is>
      </c>
      <c r="O50" t="n">
        <v>-1</v>
      </c>
      <c r="P50" t="n">
        <v>-1</v>
      </c>
      <c r="Q50" t="n">
        <v>0</v>
      </c>
    </row>
    <row r="51">
      <c r="A51" s="3" t="n">
        <v>54001041</v>
      </c>
      <c r="B51" t="inlineStr">
        <is>
          <t>라운드 시작 시 모든 적에게 위치 추적 효과 부여</t>
        </is>
      </c>
      <c r="C51" t="inlineStr">
        <is>
          <t>디버프</t>
        </is>
      </c>
      <c r="D51" t="inlineStr">
        <is>
          <t>StatusEffect</t>
        </is>
      </c>
      <c r="E51" t="n">
        <v>0</v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  <c r="I51" t="n">
        <v>10000</v>
      </c>
      <c r="J51" t="n">
        <v>30</v>
      </c>
      <c r="K51" t="n">
        <v>8000</v>
      </c>
      <c r="L51" t="n">
        <v>-1</v>
      </c>
      <c r="M51" t="n">
        <v>0</v>
      </c>
      <c r="N51" t="inlineStr">
        <is>
          <t>None</t>
        </is>
      </c>
      <c r="O51" t="n">
        <v>-1</v>
      </c>
      <c r="P51" t="n">
        <v>-1</v>
      </c>
      <c r="Q51" t="n">
        <v>0</v>
      </c>
    </row>
    <row r="52">
      <c r="A52" s="3" t="n">
        <v>54001052</v>
      </c>
      <c r="B52" t="inlineStr">
        <is>
          <t>이동 속도 증가, 라운드 시작 시 이 효과를 아군에게 25초간 부여</t>
        </is>
      </c>
      <c r="C52" t="inlineStr">
        <is>
          <t>버프</t>
        </is>
      </c>
      <c r="D52" t="inlineStr">
        <is>
          <t>StatusEffect</t>
        </is>
      </c>
      <c r="E52" t="n">
        <v>0</v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  <c r="I52" t="n">
        <v>10000</v>
      </c>
      <c r="J52" t="n">
        <v>54001052</v>
      </c>
      <c r="K52" t="n">
        <v>25000</v>
      </c>
      <c r="L52" t="n">
        <v>-1</v>
      </c>
      <c r="M52" t="n">
        <v>0</v>
      </c>
      <c r="N52" t="inlineStr">
        <is>
          <t>None</t>
        </is>
      </c>
      <c r="O52" t="n">
        <v>-1</v>
      </c>
      <c r="P52" t="n">
        <v>-1</v>
      </c>
      <c r="Q52" t="n">
        <v>0</v>
      </c>
    </row>
    <row r="53">
      <c r="A53" s="3" t="n">
        <v>60101061</v>
      </c>
      <c r="B53" t="inlineStr">
        <is>
          <t>[강화] 주변 아군에게 임시 보호막</t>
        </is>
      </c>
      <c r="C53" t="inlineStr">
        <is>
          <t>버프</t>
        </is>
      </c>
      <c r="D53" t="inlineStr">
        <is>
          <t>StatusEffect</t>
        </is>
      </c>
      <c r="E53" t="n">
        <v>0</v>
      </c>
      <c r="F53" t="inlineStr">
        <is>
          <t>None</t>
        </is>
      </c>
      <c r="G53" t="inlineStr">
        <is>
          <t>None</t>
        </is>
      </c>
      <c r="H53" t="inlineStr">
        <is>
          <t>None</t>
        </is>
      </c>
      <c r="I53" t="n">
        <v>10000</v>
      </c>
      <c r="J53" t="n">
        <v>60101061</v>
      </c>
      <c r="K53" t="n">
        <v>-1</v>
      </c>
      <c r="L53" t="n">
        <v>-1</v>
      </c>
      <c r="M53" t="n">
        <v>0</v>
      </c>
      <c r="N53" t="inlineStr">
        <is>
          <t>None</t>
        </is>
      </c>
      <c r="O53" t="n">
        <v>-1</v>
      </c>
      <c r="P53" t="n">
        <v>-1</v>
      </c>
      <c r="Q53" t="n">
        <v>0</v>
      </c>
    </row>
    <row r="54">
      <c r="A54" s="3" t="n">
        <v>60101062</v>
      </c>
      <c r="B54" t="inlineStr">
        <is>
          <t>[강화] 주변 아군에게 힐 부여</t>
        </is>
      </c>
      <c r="C54" t="inlineStr">
        <is>
          <t>힐</t>
        </is>
      </c>
      <c r="D54" t="inlineStr">
        <is>
          <t>Heal</t>
        </is>
      </c>
      <c r="E54" t="n">
        <v>0</v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n">
        <v>10000</v>
      </c>
      <c r="J54" t="n">
        <v>-1</v>
      </c>
      <c r="K54" t="n">
        <v>50</v>
      </c>
      <c r="L54" t="n">
        <v>-1</v>
      </c>
      <c r="M54" t="n">
        <v>0</v>
      </c>
      <c r="N54" t="inlineStr">
        <is>
          <t>None</t>
        </is>
      </c>
      <c r="O54" t="n">
        <v>-1</v>
      </c>
      <c r="P54" t="n">
        <v>-1</v>
      </c>
      <c r="Q5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baseColWidth="8" defaultRowHeight="16.5"/>
  <cols>
    <col width="11" bestFit="1" customWidth="1" min="1" max="1"/>
    <col width="24.125" bestFit="1" customWidth="1" min="2" max="2"/>
    <col width="12.625" bestFit="1" customWidth="1" min="3" max="3"/>
    <col width="18.625" bestFit="1" customWidth="1" min="4" max="4"/>
    <col width="19.875" bestFit="1" customWidth="1" min="5" max="5"/>
    <col width="14.625" bestFit="1" customWidth="1" min="6" max="6"/>
    <col width="20.125" bestFit="1" customWidth="1" min="7" max="7"/>
    <col width="17.625" bestFit="1" customWidth="1" min="8" max="8"/>
    <col width="22.375" bestFit="1" customWidth="1" min="9" max="9"/>
    <col width="22.5" bestFit="1" customWidth="1" min="10" max="10"/>
    <col width="15.625" bestFit="1" customWidth="1" min="11" max="11"/>
    <col width="22.125" bestFit="1" customWidth="1" min="12" max="12"/>
    <col width="18.75" bestFit="1" customWidth="1" min="13" max="13"/>
    <col width="28.75" bestFit="1" customWidth="1" min="14" max="14"/>
    <col width="23.5" bestFit="1" customWidth="1" min="15" max="15"/>
    <col width="22.5" bestFit="1" customWidth="1" min="16" max="16"/>
    <col width="21.75" bestFit="1" customWidth="1" min="17" max="17"/>
  </cols>
  <sheetData>
    <row r="1">
      <c r="A1" t="inlineStr">
        <is>
          <t>DataGroup</t>
        </is>
      </c>
      <c r="B1" t="inlineStr">
        <is>
          <t>SkillExecuteResultDisplay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hit_option</t>
        </is>
      </c>
      <c r="D2" t="inlineStr">
        <is>
          <t>hit_option_delay</t>
        </is>
      </c>
      <c r="E2" t="inlineStr">
        <is>
          <t>hit_push_distance</t>
        </is>
      </c>
      <c r="F2" t="inlineStr">
        <is>
          <t>hit_force_air</t>
        </is>
      </c>
      <c r="G2" t="inlineStr">
        <is>
          <t>hit_push_duration</t>
        </is>
      </c>
      <c r="H2" t="inlineStr">
        <is>
          <t>display_priority</t>
        </is>
      </c>
      <c r="I2" t="inlineStr">
        <is>
          <t>display_priority_wall</t>
        </is>
      </c>
      <c r="J2" t="inlineStr">
        <is>
          <t>battle_display_set_id</t>
        </is>
      </c>
      <c r="K2" t="inlineStr">
        <is>
          <t>hit_result_res</t>
        </is>
      </c>
      <c r="L2" t="inlineStr">
        <is>
          <t>is_result_upperbody</t>
        </is>
      </c>
      <c r="M2" t="inlineStr">
        <is>
          <t>caster_result_res</t>
        </is>
      </c>
      <c r="N2" t="inlineStr">
        <is>
          <t>is_caster_result_upperbody</t>
        </is>
      </c>
      <c r="O2" t="inlineStr">
        <is>
          <t>bone_shake_direction</t>
        </is>
      </c>
      <c r="P2" t="inlineStr">
        <is>
          <t>bone_shake_impulse</t>
        </is>
      </c>
      <c r="Q2" t="inlineStr">
        <is>
          <t>char_shake_impulse</t>
        </is>
      </c>
    </row>
    <row r="3">
      <c r="A3" t="n">
        <v>10012111</v>
      </c>
      <c r="B3" t="inlineStr">
        <is>
          <t>프리드웬_돌진_기본버전</t>
        </is>
      </c>
      <c r="C3" t="inlineStr">
        <is>
          <t>Bounce</t>
        </is>
      </c>
      <c r="D3" t="n">
        <v>400</v>
      </c>
      <c r="E3" t="n">
        <v>150</v>
      </c>
      <c r="F3" t="n">
        <v>6</v>
      </c>
      <c r="G3" t="n">
        <v>60</v>
      </c>
      <c r="H3" t="n">
        <v>3</v>
      </c>
      <c r="I3" t="n">
        <v>3</v>
      </c>
      <c r="J3" t="n">
        <v>1</v>
      </c>
      <c r="K3" t="inlineStr">
        <is>
          <t>null</t>
        </is>
      </c>
      <c r="L3" t="n">
        <v>0</v>
      </c>
      <c r="M3" t="inlineStr">
        <is>
          <t>null</t>
        </is>
      </c>
      <c r="N3" t="n">
        <v>0</v>
      </c>
      <c r="O3" t="inlineStr">
        <is>
          <t>F</t>
        </is>
      </c>
      <c r="P3" t="n">
        <v>20</v>
      </c>
      <c r="Q3" t="n">
        <v>200</v>
      </c>
    </row>
    <row r="4">
      <c r="A4" t="n">
        <v>10013022</v>
      </c>
      <c r="B4" t="inlineStr">
        <is>
          <t>프리드웬_통각차단_밀치기</t>
        </is>
      </c>
      <c r="C4" t="inlineStr">
        <is>
          <t>Hit</t>
        </is>
      </c>
      <c r="D4" t="n">
        <v>100</v>
      </c>
      <c r="E4" t="n">
        <v>150</v>
      </c>
      <c r="F4" t="n">
        <v>0</v>
      </c>
      <c r="G4" t="n">
        <v>25</v>
      </c>
      <c r="H4" t="n">
        <v>1</v>
      </c>
      <c r="I4" t="n">
        <v>1</v>
      </c>
      <c r="J4" t="n">
        <v>1</v>
      </c>
      <c r="K4" t="inlineStr">
        <is>
          <t>null</t>
        </is>
      </c>
      <c r="L4" t="n">
        <v>0</v>
      </c>
      <c r="M4" t="inlineStr">
        <is>
          <t>null</t>
        </is>
      </c>
      <c r="N4" t="n">
        <v>0</v>
      </c>
      <c r="O4" t="inlineStr">
        <is>
          <t>F</t>
        </is>
      </c>
      <c r="P4" t="n">
        <v>20</v>
      </c>
      <c r="Q4" t="n">
        <v>200</v>
      </c>
    </row>
    <row r="5">
      <c r="A5" t="n">
        <v>30012011</v>
      </c>
      <c r="B5" t="inlineStr">
        <is>
          <t>증거인멸_넉백</t>
        </is>
      </c>
      <c r="C5" t="inlineStr">
        <is>
          <t>Knockback</t>
        </is>
      </c>
      <c r="D5" t="n">
        <v>600</v>
      </c>
      <c r="E5" t="n">
        <v>100</v>
      </c>
      <c r="F5" t="n">
        <v>0</v>
      </c>
      <c r="G5" t="n">
        <v>200</v>
      </c>
      <c r="H5" t="n">
        <v>3</v>
      </c>
      <c r="I5" t="n">
        <v>3</v>
      </c>
      <c r="J5" t="n">
        <v>1</v>
      </c>
      <c r="K5" t="inlineStr">
        <is>
          <t>null</t>
        </is>
      </c>
      <c r="L5" t="n">
        <v>0</v>
      </c>
      <c r="M5" t="inlineStr">
        <is>
          <t>null</t>
        </is>
      </c>
      <c r="N5" t="n">
        <v>0</v>
      </c>
      <c r="O5" t="inlineStr">
        <is>
          <t>F</t>
        </is>
      </c>
      <c r="P5" t="n">
        <v>20</v>
      </c>
      <c r="Q5" t="n">
        <v>200</v>
      </c>
    </row>
    <row r="6">
      <c r="A6" t="n">
        <v>30020021</v>
      </c>
      <c r="B6" t="inlineStr">
        <is>
          <t>증거인멸_기절</t>
        </is>
      </c>
      <c r="C6" t="inlineStr">
        <is>
          <t>Hit</t>
        </is>
      </c>
      <c r="D6" t="n">
        <v>100</v>
      </c>
      <c r="E6" t="n">
        <v>150</v>
      </c>
      <c r="F6" t="n">
        <v>0</v>
      </c>
      <c r="G6" t="n">
        <v>25</v>
      </c>
      <c r="H6" t="n">
        <v>4</v>
      </c>
      <c r="I6" t="n">
        <v>4</v>
      </c>
      <c r="J6" t="n">
        <v>1</v>
      </c>
      <c r="K6" t="inlineStr">
        <is>
          <t>null</t>
        </is>
      </c>
      <c r="L6" t="n">
        <v>0</v>
      </c>
      <c r="M6" t="inlineStr">
        <is>
          <t>null</t>
        </is>
      </c>
      <c r="N6" t="n">
        <v>0</v>
      </c>
      <c r="O6" t="inlineStr">
        <is>
          <t>F</t>
        </is>
      </c>
      <c r="P6" t="n">
        <v>20</v>
      </c>
      <c r="Q6" t="n">
        <v>200</v>
      </c>
    </row>
    <row r="7">
      <c r="A7" t="n">
        <v>40011021</v>
      </c>
      <c r="B7" t="inlineStr">
        <is>
          <t>시냅스_불확정역장_공격</t>
        </is>
      </c>
      <c r="C7" t="inlineStr">
        <is>
          <t>Hit</t>
        </is>
      </c>
      <c r="D7" t="n">
        <v>400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inlineStr">
        <is>
          <t>null</t>
        </is>
      </c>
      <c r="L7" t="n">
        <v>0</v>
      </c>
      <c r="M7" t="inlineStr">
        <is>
          <t>null</t>
        </is>
      </c>
      <c r="N7" t="n">
        <v>0</v>
      </c>
      <c r="O7" t="inlineStr">
        <is>
          <t>F</t>
        </is>
      </c>
      <c r="P7" t="n">
        <v>20</v>
      </c>
      <c r="Q7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9" sqref="F39"/>
    </sheetView>
  </sheetViews>
  <sheetFormatPr baseColWidth="8" defaultRowHeight="16.5"/>
  <cols>
    <col width="11" bestFit="1" customWidth="1" min="1" max="1"/>
    <col width="34.25" bestFit="1" customWidth="1" min="2" max="2"/>
    <col width="14.5" bestFit="1" customWidth="1" min="3" max="3"/>
    <col width="14.5" customWidth="1" min="4" max="4"/>
    <col width="18.5" bestFit="1" customWidth="1" min="5" max="5"/>
    <col width="20.125" bestFit="1" customWidth="1" min="6" max="6"/>
    <col width="18.25" bestFit="1" customWidth="1" min="7" max="7"/>
    <col width="15" bestFit="1" customWidth="1" min="8" max="8"/>
    <col width="16.125" bestFit="1" customWidth="1" min="9" max="9"/>
  </cols>
  <sheetData>
    <row r="1">
      <c r="A1" t="inlineStr">
        <is>
          <t>DataGroup</t>
        </is>
      </c>
      <c r="B1" t="inlineStr">
        <is>
          <t>SkillSummon</t>
        </is>
      </c>
      <c r="C1" t="inlineStr">
        <is>
          <t>소환물 아이디는 사용자 캐릭터 ID +1, +2, …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character_id</t>
        </is>
      </c>
      <c r="D2" t="inlineStr">
        <is>
          <t>netobject_id</t>
        </is>
      </c>
      <c r="E2" t="inlineStr">
        <is>
          <t>spawn_pos_type</t>
        </is>
      </c>
      <c r="F2" t="inlineStr">
        <is>
          <t>summon_position</t>
        </is>
      </c>
      <c r="G2" t="inlineStr">
        <is>
          <t>summon_rotate</t>
        </is>
      </c>
      <c r="H2" t="inlineStr">
        <is>
          <t>life_duration</t>
        </is>
      </c>
      <c r="I2" t="inlineStr">
        <is>
          <t>is_kill_skillend</t>
        </is>
      </c>
    </row>
    <row r="3">
      <c r="A3" t="n">
        <v>3002</v>
      </c>
      <c r="B3" t="inlineStr">
        <is>
          <t>엔젤_증거인멸_소환</t>
        </is>
      </c>
      <c r="C3" t="n">
        <v>3002</v>
      </c>
      <c r="D3" s="17" t="n">
        <v>4</v>
      </c>
      <c r="E3" t="inlineStr">
        <is>
          <t>Follow</t>
        </is>
      </c>
      <c r="F3" t="inlineStr">
        <is>
          <t>0,0,0</t>
        </is>
      </c>
      <c r="G3" t="inlineStr">
        <is>
          <t>0,0,0</t>
        </is>
      </c>
      <c r="H3" t="n">
        <v>1500</v>
      </c>
      <c r="I3" t="n">
        <v>0</v>
      </c>
    </row>
    <row r="4">
      <c r="A4" s="10" t="n">
        <v>4002</v>
      </c>
      <c r="B4" t="inlineStr">
        <is>
          <t>시냅스_불확정역장_소환</t>
        </is>
      </c>
      <c r="C4" t="n">
        <v>4002</v>
      </c>
      <c r="D4" s="14" t="n">
        <v>2</v>
      </c>
      <c r="E4" t="inlineStr">
        <is>
          <t>Ground</t>
        </is>
      </c>
      <c r="F4" t="inlineStr">
        <is>
          <t>0,0,0</t>
        </is>
      </c>
      <c r="G4" t="inlineStr">
        <is>
          <t>0,0,0</t>
        </is>
      </c>
      <c r="H4" t="n">
        <v>12000</v>
      </c>
      <c r="I4" t="n">
        <v>0</v>
      </c>
    </row>
    <row r="5">
      <c r="A5" t="n">
        <v>4003</v>
      </c>
      <c r="B5" t="inlineStr">
        <is>
          <t>시냅스_방해전파장치_소환</t>
        </is>
      </c>
      <c r="C5" t="n">
        <v>4003</v>
      </c>
      <c r="D5" s="14" t="n">
        <v>1</v>
      </c>
      <c r="E5" t="inlineStr">
        <is>
          <t>Ground</t>
        </is>
      </c>
      <c r="F5" t="inlineStr">
        <is>
          <t>0,0,0</t>
        </is>
      </c>
      <c r="G5" t="inlineStr">
        <is>
          <t>0,0,0</t>
        </is>
      </c>
      <c r="H5" t="n">
        <v>10000</v>
      </c>
      <c r="I5" t="n">
        <v>0</v>
      </c>
    </row>
    <row r="6">
      <c r="A6" t="n">
        <v>4004</v>
      </c>
      <c r="B6" t="inlineStr">
        <is>
          <t>시냅스_바이러스노드_소환</t>
        </is>
      </c>
      <c r="C6" t="n">
        <v>4004</v>
      </c>
      <c r="D6" s="17" t="n">
        <v>3</v>
      </c>
      <c r="E6" t="inlineStr">
        <is>
          <t>Ground</t>
        </is>
      </c>
      <c r="F6" t="inlineStr">
        <is>
          <t>0,0,0</t>
        </is>
      </c>
      <c r="G6" t="inlineStr">
        <is>
          <t>0,0,0</t>
        </is>
      </c>
      <c r="H6" t="n">
        <v>2000</v>
      </c>
      <c r="I6" t="n">
        <v>0</v>
      </c>
    </row>
    <row r="7">
      <c r="A7" t="n">
        <v>4005</v>
      </c>
      <c r="B7" t="inlineStr">
        <is>
          <t>시냅스_바이러스노드_소환(약화)</t>
        </is>
      </c>
      <c r="C7" t="n">
        <v>4005</v>
      </c>
      <c r="D7" s="17" t="n">
        <v>3</v>
      </c>
      <c r="E7" t="inlineStr">
        <is>
          <t>Ground</t>
        </is>
      </c>
      <c r="F7" t="inlineStr">
        <is>
          <t>0,0,0</t>
        </is>
      </c>
      <c r="G7" t="inlineStr">
        <is>
          <t>0,0,0</t>
        </is>
      </c>
      <c r="H7" t="n">
        <v>1500</v>
      </c>
      <c r="I7" t="n">
        <v>0</v>
      </c>
    </row>
    <row r="8">
      <c r="A8" t="n">
        <v>4006</v>
      </c>
      <c r="B8" t="inlineStr">
        <is>
          <t>시냅스_방해전파장치_교란필터_소환</t>
        </is>
      </c>
      <c r="C8" t="n">
        <v>4006</v>
      </c>
      <c r="D8" s="14" t="n">
        <v>1</v>
      </c>
      <c r="E8" t="inlineStr">
        <is>
          <t>Ground</t>
        </is>
      </c>
      <c r="F8" t="inlineStr">
        <is>
          <t>0,0,0</t>
        </is>
      </c>
      <c r="G8" t="inlineStr">
        <is>
          <t>0,0,0</t>
        </is>
      </c>
      <c r="H8" t="n">
        <v>10000</v>
      </c>
      <c r="I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2025-10-21T09:13:31Z</dcterms:created>
  <dcterms:modified xsi:type="dcterms:W3CDTF">2026-03-09T07:45:14Z</dcterms:modified>
  <cp:lastModifiedBy>Raekwan Lee (이래관)</cp:lastModifiedBy>
</cp:coreProperties>
</file>