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Gear" sheetId="1" state="visible" r:id="rId1"/>
    <sheet name="Weapon" sheetId="2" state="visible" r:id="rId2"/>
    <sheet name="WeaponStat" sheetId="3" state="visible" r:id="rId3"/>
    <sheet name="WeaponSelfStat" sheetId="4" state="visible" r:id="rId4"/>
    <sheet name="WeaponStatDisplay" sheetId="5" state="visible" r:id="rId5"/>
    <sheet name="#DamageToEnergyGain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10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family val="2"/>
      <color rgb="FFFF0000"/>
      <sz val="11"/>
      <scheme val="minor"/>
    </font>
    <font>
      <name val="맑은 고딕"/>
      <family val="2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2"/>
      <b val="1"/>
      <color rgb="FF3F3F3F"/>
      <sz val="11"/>
      <scheme val="minor"/>
    </font>
    <font>
      <name val="맑은 고딕"/>
      <family val="2"/>
      <b val="1"/>
      <color theme="0"/>
      <sz val="11"/>
      <scheme val="minor"/>
    </font>
    <font>
      <name val="맑은 고딕"/>
      <family val="2"/>
      <color theme="1"/>
      <sz val="9"/>
      <scheme val="minor"/>
    </font>
    <font>
      <name val="맑은 고딕"/>
      <charset val="129"/>
      <family val="2"/>
      <b val="1"/>
      <color rgb="FFFF0000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  <bgColor theme="4"/>
      </patternFill>
    </fill>
    <fill>
      <patternFill patternType="solid">
        <fgColor theme="9"/>
        <bgColor theme="4"/>
      </patternFill>
    </fill>
    <fill>
      <patternFill patternType="solid">
        <fgColor theme="7"/>
        <bgColor theme="4"/>
      </patternFill>
    </fill>
    <fill>
      <patternFill patternType="solid">
        <fgColor theme="1" tint="0.49995422223578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rgb="FFFFFF00"/>
      </patternFill>
    </fill>
  </fills>
  <borders count="1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/>
      <diagonal/>
    </border>
  </borders>
  <cellStyleXfs count="5">
    <xf numFmtId="0" fontId="5" fillId="0" borderId="0"/>
    <xf numFmtId="0" fontId="4" fillId="0" borderId="0" applyAlignment="1">
      <alignment vertical="center"/>
    </xf>
    <xf numFmtId="9" fontId="5" fillId="0" borderId="0" applyAlignment="1">
      <alignment vertical="center"/>
    </xf>
    <xf numFmtId="0" fontId="6" fillId="4" borderId="1" applyAlignment="1">
      <alignment vertical="center"/>
    </xf>
    <xf numFmtId="0" fontId="5" fillId="5" borderId="2" applyAlignment="1">
      <alignment vertical="center"/>
    </xf>
  </cellStyleXfs>
  <cellXfs count="40">
    <xf numFmtId="0" fontId="0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2" fillId="3" borderId="0" pivotButton="0" quotePrefix="0" xfId="0"/>
    <xf numFmtId="0" fontId="7" fillId="6" borderId="3" pivotButton="0" quotePrefix="0" xfId="0"/>
    <xf numFmtId="0" fontId="7" fillId="6" borderId="4" pivotButton="0" quotePrefix="0" xfId="0"/>
    <xf numFmtId="0" fontId="0" fillId="0" borderId="3" pivotButton="0" quotePrefix="0" xfId="0"/>
    <xf numFmtId="0" fontId="0" fillId="0" borderId="0" applyAlignment="1" pivotButton="0" quotePrefix="0" xfId="0">
      <alignment horizontal="left"/>
    </xf>
    <xf numFmtId="0" fontId="7" fillId="7" borderId="4" pivotButton="0" quotePrefix="0" xfId="0"/>
    <xf numFmtId="9" fontId="0" fillId="0" borderId="0" pivotButton="0" quotePrefix="0" xfId="0"/>
    <xf numFmtId="0" fontId="7" fillId="6" borderId="0" pivotButton="0" quotePrefix="0" xfId="0"/>
    <xf numFmtId="1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2"/>
    <xf numFmtId="9" fontId="0" fillId="0" borderId="0" applyAlignment="1" pivotButton="0" quotePrefix="0" xfId="0">
      <alignment horizontal="left"/>
    </xf>
    <xf numFmtId="9" fontId="2" fillId="3" borderId="0" pivotButton="0" quotePrefix="0" xfId="0"/>
    <xf numFmtId="0" fontId="6" fillId="4" borderId="1" applyAlignment="1" pivotButton="0" quotePrefix="0" xfId="3">
      <alignment horizontal="right"/>
    </xf>
    <xf numFmtId="0" fontId="7" fillId="8" borderId="0" pivotButton="0" quotePrefix="0" xfId="0"/>
    <xf numFmtId="0" fontId="8" fillId="0" borderId="0" pivotButton="0" quotePrefix="0" xfId="0"/>
    <xf numFmtId="0" fontId="9" fillId="3" borderId="1" applyAlignment="1" pivotButton="0" quotePrefix="0" xfId="3">
      <alignment horizontal="right"/>
    </xf>
    <xf numFmtId="9" fontId="5" fillId="0" borderId="0" applyAlignment="1" pivotButton="0" quotePrefix="0" xfId="2">
      <alignment vertical="center"/>
    </xf>
    <xf numFmtId="0" fontId="0" fillId="9" borderId="0" pivotButton="0" quotePrefix="0" xfId="0"/>
    <xf numFmtId="0" fontId="3" fillId="9" borderId="0" pivotButton="0" quotePrefix="0" xfId="0"/>
    <xf numFmtId="0" fontId="0" fillId="9" borderId="0" applyAlignment="1" pivotButton="0" quotePrefix="0" xfId="0">
      <alignment horizontal="center"/>
    </xf>
    <xf numFmtId="0" fontId="3" fillId="9" borderId="9" pivotButton="0" quotePrefix="0" xfId="0"/>
    <xf numFmtId="0" fontId="3" fillId="10" borderId="0" pivotButton="0" quotePrefix="0" xfId="0"/>
    <xf numFmtId="0" fontId="3" fillId="10" borderId="0" applyAlignment="1" pivotButton="0" quotePrefix="0" xfId="0">
      <alignment horizontal="center"/>
    </xf>
    <xf numFmtId="0" fontId="0" fillId="10" borderId="0" pivotButton="0" quotePrefix="0" xfId="0"/>
    <xf numFmtId="0" fontId="0" fillId="10" borderId="0" applyAlignment="1" pivotButton="0" quotePrefix="0" xfId="0">
      <alignment horizontal="center"/>
    </xf>
    <xf numFmtId="0" fontId="0" fillId="5" borderId="2" applyAlignment="1" pivotButton="0" quotePrefix="0" xfId="4">
      <alignment horizontal="center"/>
    </xf>
    <xf numFmtId="0" fontId="0" fillId="0" borderId="5" pivotButton="0" quotePrefix="0" xfId="0"/>
    <xf numFmtId="0" fontId="0" fillId="0" borderId="6" pivotButton="0" quotePrefix="0" xfId="0"/>
    <xf numFmtId="0" fontId="0" fillId="5" borderId="2" applyAlignment="1" pivotButton="0" quotePrefix="0" xfId="4">
      <alignment horizontal="center" wrapText="1"/>
    </xf>
    <xf numFmtId="0" fontId="0" fillId="0" borderId="7" pivotButton="0" quotePrefix="0" xfId="0"/>
    <xf numFmtId="0" fontId="0" fillId="0" borderId="8" pivotButton="0" quotePrefix="0" xfId="0"/>
    <xf numFmtId="0" fontId="0" fillId="11" borderId="0" pivotButton="0" quotePrefix="0" xfId="0"/>
    <xf numFmtId="164" fontId="0" fillId="0" borderId="0" pivotButton="0" quotePrefix="0" xfId="0"/>
    <xf numFmtId="165" fontId="0" fillId="0" borderId="0" pivotButton="0" quotePrefix="0" xfId="2"/>
  </cellXfs>
  <cellStyles count="5">
    <cellStyle name="표준" xfId="0" builtinId="0"/>
    <cellStyle name="표준 3" xfId="1"/>
    <cellStyle name="백분율" xfId="2" builtinId="5"/>
    <cellStyle name="출력" xfId="3" builtinId="21"/>
    <cellStyle name="메모" xfId="4" builtinId="10"/>
  </cellStyles>
  <dxfs count="10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5" tint="0.5999633777886288"/>
        </patternFill>
      </fill>
    </dxf>
    <dxf>
      <fill>
        <patternFill>
          <bgColor rgb="FF00B050"/>
        </patternFill>
      </fill>
    </dxf>
    <dxf>
      <fill>
        <patternFill patternType="solid">
          <fgColor indexed="64"/>
          <bgColor theme="1" tint="0.499954222235786"/>
        </patternFill>
      </fill>
      <border>
        <left/>
        <right/>
        <top style="thin">
          <color theme="4" tint="0.3999755851924192"/>
        </top>
        <bottom style="thin">
          <color theme="4" tint="0.3999755851924192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Gear" displayName="Gear" ref="A2:J36" headerRowCount="1">
  <autoFilter ref="A2:J36"/>
  <tableColumns count="10">
    <tableColumn id="1" name="id"/>
    <tableColumn id="2" name="#group_memo"/>
    <tableColumn id="3" name="#name_memo"/>
    <tableColumn id="4" name="gear_class"/>
    <tableColumn id="5" name="name_id"/>
    <tableColumn id="6" name="desc_id"/>
    <tableColumn id="7" name="icon"/>
    <tableColumn id="9" name="rarity"/>
    <tableColumn id="10" name="max_stack"/>
    <tableColumn id="8" name="netobject_id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Weapon" displayName="Weapon" ref="A2:AU35" headerRowCount="1">
  <autoFilter ref="A2:AU35"/>
  <tableColumns count="47">
    <tableColumn id="1" name="id"/>
    <tableColumn id="2" name="#group_memo"/>
    <tableColumn id="3" name="#name_memo"/>
    <tableColumn id="4" name="weapon_type"/>
    <tableColumn id="5" name="weapon_type_icon"/>
    <tableColumn id="6" name="fire_type"/>
    <tableColumn id="7" name="ammo_type"/>
    <tableColumn id="8" name="source_type"/>
    <tableColumn id="9" name="fire_damage_type"/>
    <tableColumn id="10" name="elemental_type"/>
    <tableColumn id="11" name="aim_mode"/>
    <tableColumn id="12" name="penetration_ally"/>
    <tableColumn id="13" name="penetration_enemy"/>
    <tableColumn id="14" name="penetration_bg"/>
    <tableColumn id="15" name="auto_reload"/>
    <tableColumn id="16" name="weapon_stat_id"/>
    <tableColumn id="17" name="weapon_self_stat_id"/>
    <tableColumn id="18" name="default_skin_id"/>
    <tableColumn id="19" name="weapon_fire_setting"/>
    <tableColumn id="20" name="projectile_id"/>
    <tableColumn id="21" name="passive_id"/>
    <tableColumn id="22" name="on_hit_execute_id1"/>
    <tableColumn id="23" name="on_hit_execute_id2"/>
    <tableColumn id="24" name="aim_assist_target"/>
    <tableColumn id="25" name="auto_fire_target"/>
    <tableColumn id="26" name="crosshair_aim"/>
    <tableColumn id="27" name="crosshair_line"/>
    <tableColumn id="28" name="crosshair"/>
    <tableColumn id="29" name="block_move"/>
    <tableColumn id="30" name="block_jump"/>
    <tableColumn id="31" name="is_swap_clear"/>
    <tableColumn id="32" name="force_stance"/>
    <tableColumn id="33" name="force_aim"/>
    <tableColumn id="34" name="base_rotation_mode"/>
    <tableColumn id="35" name="block_jump_state"/>
    <tableColumn id="36" name="camera_setting_stand_hip"/>
    <tableColumn id="37" name="camera_setting_stand_hip_fire"/>
    <tableColumn id="38" name="camera_setting_stand_aim"/>
    <tableColumn id="39" name="camera_setting_stand_ads"/>
    <tableColumn id="40" name="camera_setting_crouch_hip"/>
    <tableColumn id="41" name="camera_setting_crouch_hip_fire"/>
    <tableColumn id="42" name="camera_setting_crouch_aim"/>
    <tableColumn id="43" name="camera_setting_crouch_ads"/>
    <tableColumn id="44" name="vinette_setting"/>
    <tableColumn id="45" name="autofire_condition"/>
    <tableColumn id="46" name="initial_aim_assist_state"/>
    <tableColumn id="47" name="initial_auto_fire_st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WeaponStat" displayName="WeaponStat" ref="A2:CB22" headerRowCount="1">
  <autoFilter ref="A2:CB22"/>
  <tableColumns count="80">
    <tableColumn id="1" name="id"/>
    <tableColumn id="2" name="#group_memo">
      <calculatedColumnFormula>_xlfn.XLOOKUP(WeaponStat[[#This Row],[id]],Weapon[[#This Row],[id]],Weapon[[#This Row],['#group_memo]])</calculatedColumnFormula>
    </tableColumn>
    <tableColumn id="3" name="#name_memo"/>
    <tableColumn id="4" name="damage_base"/>
    <tableColumn id="5" name="damage_head_modifier"/>
    <tableColumn id="6" name="damage_body_modifier"/>
    <tableColumn id="7" name="damage_limb_modifier"/>
    <tableColumn id="8" name="damage_shield_modifier"/>
    <tableColumn id="9" name="damage_self_value"/>
    <tableColumn id="10" name="damage_ally_value"/>
    <tableColumn id="11" name="damage_enemy_value"/>
    <tableColumn id="12" name="heal_base"/>
    <tableColumn id="13" name="fire_rate"/>
    <tableColumn id="14" name="effective_range"/>
    <tableColumn id="15" name="damage_falloff_start_distance"/>
    <tableColumn id="16" name="damage_falloff_end_distance"/>
    <tableColumn id="17" name="damage_falloff_min_value"/>
    <tableColumn id="18" name="mag_capacity_1"/>
    <tableColumn id="19" name="mag_capacity_2"/>
    <tableColumn id="20" name="mag_capacity_3"/>
    <tableColumn id="21" name="no_anim_reload_time"/>
    <tableColumn id="22" name="reload_time"/>
    <tableColumn id="23" name="ammo_amount_spawn"/>
    <tableColumn id="24" name="ammo_amount_airdrop"/>
    <tableColumn id="25" name="move_speed"/>
    <tableColumn id="26" name="move_speed_rate_stand_hip"/>
    <tableColumn id="27" name="move_speed_rate_stand_hip_fire"/>
    <tableColumn id="28" name="move_speed_rate_stand_aim"/>
    <tableColumn id="29" name="move_speed_rate_stand_ads"/>
    <tableColumn id="30" name="move_speed_rate_stand_reload"/>
    <tableColumn id="31" name="move_speed_rate_stand_equip"/>
    <tableColumn id="32" name="move_speed_rate_crouch_hip"/>
    <tableColumn id="33" name="move_speed_rate_crouch_hip_fire"/>
    <tableColumn id="34" name="move_speed_rate_crouch_aim"/>
    <tableColumn id="35" name="move_speed_rate_crouch_ads"/>
    <tableColumn id="36" name="move_speed_rate_crouch_reload"/>
    <tableColumn id="37" name="move_speed_rate_crouch_equip"/>
    <tableColumn id="38" name="deviation_standing"/>
    <tableColumn id="39" name="deviation_crouch"/>
    <tableColumn id="40" name="deviation_rate_aim"/>
    <tableColumn id="41" name="deviation_rate_ads"/>
    <tableColumn id="42" name="deviation_rate_move"/>
    <tableColumn id="43" name="deviation_rate_jump"/>
    <tableColumn id="44" name="moa_base"/>
    <tableColumn id="45" name="moa_max"/>
    <tableColumn id="46" name="moa_increment_per_shot"/>
    <tableColumn id="47" name="moa_bonus_shot_count"/>
    <tableColumn id="48" name="moa_bonus_reset_time"/>
    <tableColumn id="49" name="moa_recovery"/>
    <tableColumn id="50" name="moa_recovery_delay"/>
    <tableColumn id="51" name="aim_assist_hip_fire_radius"/>
    <tableColumn id="52" name="aim_assist_ads_enter_raidus"/>
    <tableColumn id="53" name="aim_assist_ads_fire_radius"/>
    <tableColumn id="54" name="aim_assist_keep_fire"/>
    <tableColumn id="55" name="aim_assist_keep_recover_time"/>
    <tableColumn id="56" name="aim_assist_duration"/>
    <tableColumn id="57" name="burst_shot_count"/>
    <tableColumn id="58" name="burst_interval"/>
    <tableColumn id="59" name="burst_min_input_interval"/>
    <tableColumn id="60" name="burst_final_shot_modifier"/>
    <tableColumn id="61" name="pellet_count"/>
    <tableColumn id="62" name="pellet_spread"/>
    <tableColumn id="63" name="heat_max"/>
    <tableColumn id="64" name="heat_per_shot"/>
    <tableColumn id="65" name="heat_cooldown_rate"/>
    <tableColumn id="66" name="heat_cooldown_delay"/>
    <tableColumn id="67" name="overheat_cooldown_time"/>
    <tableColumn id="68" name="post_fire_delay"/>
    <tableColumn id="69" name="force_delay_rate"/>
    <tableColumn id="70" name="draw_duration"/>
    <tableColumn id="71" name="fire_hit_energy_gain"/>
    <tableColumn id="72" name="energy_gain_head_modifier"/>
    <tableColumn id="73" name="autofire_radius"/>
    <tableColumn id="74" name="autofire_trigger_timer"/>
    <tableColumn id="75" name="autofire_grace_timer"/>
    <tableColumn id="76" name="charge_max_time"/>
    <tableColumn id="77" name="charge_tier"/>
    <tableColumn id="78" name="charge_damage_modifier_per_tier"/>
    <tableColumn id="79" name="charge_damage_modifier_max"/>
    <tableColumn id="80" name="charge_ammo_consume_modifier_per_ti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WeaponSelfStat" displayName="WeaponSelfStat" ref="A2:O3" headerRowCount="1">
  <autoFilter ref="A2:O3"/>
  <tableColumns count="15">
    <tableColumn id="1" name="id"/>
    <tableColumn id="2" name="#weapon_self_memo"/>
    <tableColumn id="3" name="max_health"/>
    <tableColumn id="4" name="health_regen"/>
    <tableColumn id="5" name="max_innate_shield"/>
    <tableColumn id="6" name="innate_shield_regen_draw"/>
    <tableColumn id="7" name="innate_shield_regen_sheath"/>
    <tableColumn id="8" name="heal_rate"/>
    <tableColumn id="9" name="heal_by_rate"/>
    <tableColumn id="10" name="temp_shield_rate"/>
    <tableColumn id="11" name="temp_shield_by_rate"/>
    <tableColumn id="12" name="damage_reduction_rate"/>
    <tableColumn id="13" name="bullet_damage_reduction_rate"/>
    <tableColumn id="14" name="splash_damage_reduction_rate"/>
    <tableColumn id="15" name="skill_damage_reduction_ra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WeaponStatDisplay" displayName="WeaponStatDisplay" ref="A2:D69" headerRowCount="1">
  <autoFilter ref="A2:D69"/>
  <tableColumns count="4">
    <tableColumn id="1" name="weapon_type"/>
    <tableColumn id="2" name="#name_memo"/>
    <tableColumn id="3" name="ui_sort_order"/>
    <tableColumn id="4" name="stat_typ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zoomScale="85" workbookViewId="0">
      <selection activeCell="J23" sqref="J23"/>
    </sheetView>
  </sheetViews>
  <sheetFormatPr baseColWidth="8" defaultRowHeight="16.5"/>
  <cols>
    <col width="11" bestFit="1" customWidth="1" min="1" max="1"/>
    <col width="17" bestFit="1" customWidth="1" min="2" max="2"/>
    <col width="24.375" bestFit="1" customWidth="1" min="3" max="3"/>
    <col width="12.5" bestFit="1" customWidth="1" min="4" max="4"/>
    <col width="17.75" bestFit="1" customWidth="1" min="5" max="5"/>
    <col width="16.625" bestFit="1" customWidth="1" min="6" max="6"/>
    <col width="32.375" bestFit="1" customWidth="1" min="7" max="7"/>
    <col width="11.625" bestFit="1" customWidth="1" min="8" max="8"/>
    <col width="18.625" bestFit="1" customWidth="1" min="9" max="9"/>
    <col width="19.5" customWidth="1" style="2" min="10" max="10"/>
    <col width="21.5" bestFit="1" customWidth="1" min="11" max="11"/>
  </cols>
  <sheetData>
    <row r="1">
      <c r="A1" t="inlineStr">
        <is>
          <t>DataGroup</t>
        </is>
      </c>
      <c r="B1" t="inlineStr">
        <is>
          <t>Gear</t>
        </is>
      </c>
      <c r="J1" s="2" t="inlineStr">
        <is>
          <t>(1:라이플, 2:차지, 3: 투척)</t>
        </is>
      </c>
    </row>
    <row r="2">
      <c r="A2" t="inlineStr">
        <is>
          <t>id</t>
        </is>
      </c>
      <c r="B2" s="1" t="inlineStr">
        <is>
          <t>#group_memo</t>
        </is>
      </c>
      <c r="C2" s="1" t="inlineStr">
        <is>
          <t>#name_memo</t>
        </is>
      </c>
      <c r="D2" t="inlineStr">
        <is>
          <t>gear_class</t>
        </is>
      </c>
      <c r="E2" t="inlineStr">
        <is>
          <t>name_id</t>
        </is>
      </c>
      <c r="F2" t="inlineStr">
        <is>
          <t>desc_id</t>
        </is>
      </c>
      <c r="G2" t="inlineStr">
        <is>
          <t>icon</t>
        </is>
      </c>
      <c r="H2" t="inlineStr">
        <is>
          <t>rarity</t>
        </is>
      </c>
      <c r="I2" t="inlineStr">
        <is>
          <t>max_stack</t>
        </is>
      </c>
      <c r="J2" s="2" t="inlineStr">
        <is>
          <t>netobject_id</t>
        </is>
      </c>
    </row>
    <row r="3">
      <c r="A3" t="n">
        <v>200000</v>
      </c>
      <c r="B3" t="inlineStr">
        <is>
          <t>무기</t>
        </is>
      </c>
      <c r="C3" t="inlineStr">
        <is>
          <t>맨손</t>
        </is>
      </c>
      <c r="D3" t="inlineStr">
        <is>
          <t>Weapon</t>
        </is>
      </c>
      <c r="E3" t="inlineStr">
        <is>
          <t>Gear_Name_200000</t>
        </is>
      </c>
      <c r="F3" t="inlineStr">
        <is>
          <t>Gear_Desc_200000</t>
        </is>
      </c>
      <c r="G3" t="inlineStr">
        <is>
          <t>icon_weapon_fist</t>
        </is>
      </c>
      <c r="H3" t="inlineStr">
        <is>
          <t>Common</t>
        </is>
      </c>
      <c r="I3" t="n">
        <v>1</v>
      </c>
      <c r="J3" s="2" t="n">
        <v>1</v>
      </c>
    </row>
    <row r="4">
      <c r="A4" t="n">
        <v>210011</v>
      </c>
      <c r="B4" t="inlineStr">
        <is>
          <t>무기</t>
        </is>
      </c>
      <c r="C4" t="inlineStr">
        <is>
          <t>뱅가드_메인1</t>
        </is>
      </c>
      <c r="D4" t="inlineStr">
        <is>
          <t>Weapon</t>
        </is>
      </c>
      <c r="E4">
        <f>"Gear_Name_"&amp;Gear[[#This Row],[id]]</f>
        <v/>
      </c>
      <c r="F4">
        <f>"Gear_Desc_"&amp;Gear[[#This Row],[id]]</f>
        <v/>
      </c>
      <c r="G4" t="inlineStr">
        <is>
          <t>icon_weapon_s1897</t>
        </is>
      </c>
      <c r="H4" t="inlineStr">
        <is>
          <t>Common</t>
        </is>
      </c>
      <c r="I4" t="n">
        <v>1</v>
      </c>
      <c r="J4" s="2" t="n">
        <v>1</v>
      </c>
    </row>
    <row r="5">
      <c r="A5" t="n">
        <v>210012</v>
      </c>
      <c r="B5" t="inlineStr">
        <is>
          <t>무기</t>
        </is>
      </c>
      <c r="C5" t="inlineStr">
        <is>
          <t>뱅가드_메인2</t>
        </is>
      </c>
      <c r="D5" t="inlineStr">
        <is>
          <t>Weapon</t>
        </is>
      </c>
      <c r="E5">
        <f>"Gear_Name_"&amp;Gear[[#This Row],[id]]</f>
        <v/>
      </c>
      <c r="F5">
        <f>"Gear_Desc_"&amp;Gear[[#This Row],[id]]</f>
        <v/>
      </c>
      <c r="G5" t="inlineStr">
        <is>
          <t>icon_weapon_ump</t>
        </is>
      </c>
      <c r="H5" t="inlineStr">
        <is>
          <t>Common</t>
        </is>
      </c>
      <c r="I5" t="n">
        <v>1</v>
      </c>
      <c r="J5" s="2" t="n">
        <v>1</v>
      </c>
    </row>
    <row r="6">
      <c r="A6" t="n">
        <v>210013</v>
      </c>
      <c r="B6" t="inlineStr">
        <is>
          <t>무기</t>
        </is>
      </c>
      <c r="C6" t="inlineStr">
        <is>
          <t>뱅가드_서브</t>
        </is>
      </c>
      <c r="D6" t="inlineStr">
        <is>
          <t>Weapon</t>
        </is>
      </c>
      <c r="E6">
        <f>"Gear_Name_"&amp;Gear[[#This Row],[id]]</f>
        <v/>
      </c>
      <c r="F6">
        <f>"Gear_Desc_"&amp;Gear[[#This Row],[id]]</f>
        <v/>
      </c>
      <c r="G6" t="inlineStr">
        <is>
          <t>icon_weapon_p92</t>
        </is>
      </c>
      <c r="H6" t="inlineStr">
        <is>
          <t>Common</t>
        </is>
      </c>
      <c r="I6" t="n">
        <v>1</v>
      </c>
      <c r="J6" s="2" t="n">
        <v>1</v>
      </c>
    </row>
    <row r="7">
      <c r="A7" t="n">
        <v>210014</v>
      </c>
      <c r="B7" t="inlineStr">
        <is>
          <t>스킬웨폰</t>
        </is>
      </c>
      <c r="C7" t="inlineStr">
        <is>
          <t>뱅가드_전술방패</t>
        </is>
      </c>
      <c r="D7" t="inlineStr">
        <is>
          <t>Weapon</t>
        </is>
      </c>
      <c r="E7">
        <f>"Gear_Name_"&amp;Gear[[#This Row],[id]]</f>
        <v/>
      </c>
      <c r="F7">
        <f>"Gear_Desc_"&amp;Gear[[#This Row],[id]]</f>
        <v/>
      </c>
      <c r="G7" t="inlineStr">
        <is>
          <t>null</t>
        </is>
      </c>
      <c r="H7" t="inlineStr">
        <is>
          <t>Common</t>
        </is>
      </c>
      <c r="I7" t="n">
        <v>1</v>
      </c>
      <c r="J7" s="2" t="n">
        <v>1</v>
      </c>
    </row>
    <row r="8">
      <c r="A8" t="n">
        <v>220011</v>
      </c>
      <c r="B8" t="inlineStr">
        <is>
          <t>무기</t>
        </is>
      </c>
      <c r="C8" t="inlineStr">
        <is>
          <t>스트라이커_메인1</t>
        </is>
      </c>
      <c r="D8" t="inlineStr">
        <is>
          <t>Weapon</t>
        </is>
      </c>
      <c r="E8">
        <f>"Gear_Name_"&amp;Gear[[#This Row],[id]]</f>
        <v/>
      </c>
      <c r="F8">
        <f>"Gear_Desc_"&amp;Gear[[#This Row],[id]]</f>
        <v/>
      </c>
      <c r="G8" t="inlineStr">
        <is>
          <t>icon_weapon_m416</t>
        </is>
      </c>
      <c r="H8" t="inlineStr">
        <is>
          <t>Common</t>
        </is>
      </c>
      <c r="I8" t="n">
        <v>1</v>
      </c>
      <c r="J8" s="2" t="n">
        <v>1</v>
      </c>
    </row>
    <row r="9">
      <c r="A9" t="n">
        <v>220012</v>
      </c>
      <c r="B9" t="inlineStr">
        <is>
          <t>무기</t>
        </is>
      </c>
      <c r="C9" t="inlineStr">
        <is>
          <t>스트라이커_메인2</t>
        </is>
      </c>
      <c r="D9" t="inlineStr">
        <is>
          <t>Weapon</t>
        </is>
      </c>
      <c r="E9">
        <f>"Gear_Name_"&amp;Gear[[#This Row],[id]]</f>
        <v/>
      </c>
      <c r="F9">
        <f>"Gear_Desc_"&amp;Gear[[#This Row],[id]]</f>
        <v/>
      </c>
      <c r="G9" t="inlineStr">
        <is>
          <t>icon_weapon_m249</t>
        </is>
      </c>
      <c r="H9" t="inlineStr">
        <is>
          <t>Common</t>
        </is>
      </c>
      <c r="I9" t="n">
        <v>1</v>
      </c>
      <c r="J9" s="2" t="n">
        <v>1</v>
      </c>
    </row>
    <row r="10">
      <c r="A10" t="n">
        <v>220013</v>
      </c>
      <c r="B10" t="inlineStr">
        <is>
          <t>무기</t>
        </is>
      </c>
      <c r="C10" t="inlineStr">
        <is>
          <t>스트라이커_서브</t>
        </is>
      </c>
      <c r="D10" t="inlineStr">
        <is>
          <t>Weapon</t>
        </is>
      </c>
      <c r="E10">
        <f>"Gear_Name_"&amp;Gear[[#This Row],[id]]</f>
        <v/>
      </c>
      <c r="F10">
        <f>"Gear_Desc_"&amp;Gear[[#This Row],[id]]</f>
        <v/>
      </c>
      <c r="G10" t="inlineStr">
        <is>
          <t>icon_weapon_deagle</t>
        </is>
      </c>
      <c r="H10" t="inlineStr">
        <is>
          <t>Common</t>
        </is>
      </c>
      <c r="I10" t="n">
        <v>1</v>
      </c>
      <c r="J10" s="2" t="n">
        <v>1</v>
      </c>
    </row>
    <row r="11">
      <c r="A11" t="n">
        <v>220014</v>
      </c>
      <c r="B11" t="inlineStr">
        <is>
          <t>스킬웨폰</t>
        </is>
      </c>
      <c r="C11" t="inlineStr">
        <is>
          <t>스트라이커_궁</t>
        </is>
      </c>
      <c r="D11" t="inlineStr">
        <is>
          <t>Weapon</t>
        </is>
      </c>
      <c r="E11">
        <f>"Gear_Name_"&amp;Gear[[#This Row],[id]]</f>
        <v/>
      </c>
      <c r="F11">
        <f>"Gear_Desc_"&amp;Gear[[#This Row],[id]]</f>
        <v/>
      </c>
      <c r="G11" t="inlineStr">
        <is>
          <t>icon_weapon_striker_rocket_launcher</t>
        </is>
      </c>
      <c r="H11" t="inlineStr">
        <is>
          <t>Rare</t>
        </is>
      </c>
      <c r="I11" t="n">
        <v>1</v>
      </c>
      <c r="J11" s="2" t="n">
        <v>1</v>
      </c>
    </row>
    <row r="12">
      <c r="A12" t="n">
        <v>230011</v>
      </c>
      <c r="B12" t="inlineStr">
        <is>
          <t>무기</t>
        </is>
      </c>
      <c r="C12" t="inlineStr">
        <is>
          <t>에이전트_메인1</t>
        </is>
      </c>
      <c r="D12" t="inlineStr">
        <is>
          <t>Weapon</t>
        </is>
      </c>
      <c r="E12">
        <f>"Gear_Name_"&amp;Gear[[#This Row],[id]]</f>
        <v/>
      </c>
      <c r="F12">
        <f>"Gear_Desc_"&amp;Gear[[#This Row],[id]]</f>
        <v/>
      </c>
      <c r="G12" t="inlineStr">
        <is>
          <t>icon_weapon_vector</t>
        </is>
      </c>
      <c r="H12" t="inlineStr">
        <is>
          <t>Common</t>
        </is>
      </c>
      <c r="I12" t="n">
        <v>1</v>
      </c>
      <c r="J12" s="2" t="n">
        <v>1</v>
      </c>
    </row>
    <row r="13">
      <c r="A13" t="n">
        <v>230012</v>
      </c>
      <c r="B13" t="inlineStr">
        <is>
          <t>무기</t>
        </is>
      </c>
      <c r="C13" t="inlineStr">
        <is>
          <t>에이전트_메인2</t>
        </is>
      </c>
      <c r="D13" t="inlineStr">
        <is>
          <t>Weapon</t>
        </is>
      </c>
      <c r="E13">
        <f>"Gear_Name_"&amp;Gear[[#This Row],[id]]</f>
        <v/>
      </c>
      <c r="F13">
        <f>"Gear_Desc_"&amp;Gear[[#This Row],[id]]</f>
        <v/>
      </c>
      <c r="G13" t="inlineStr">
        <is>
          <t>icon_weapon_awm</t>
        </is>
      </c>
      <c r="H13" t="inlineStr">
        <is>
          <t>Common</t>
        </is>
      </c>
      <c r="I13" t="n">
        <v>1</v>
      </c>
      <c r="J13" s="2" t="n">
        <v>1</v>
      </c>
    </row>
    <row r="14">
      <c r="A14" t="n">
        <v>230013</v>
      </c>
      <c r="B14" t="inlineStr">
        <is>
          <t>무기</t>
        </is>
      </c>
      <c r="C14" t="inlineStr">
        <is>
          <t>에이전트_서브</t>
        </is>
      </c>
      <c r="D14" t="inlineStr">
        <is>
          <t>Weapon</t>
        </is>
      </c>
      <c r="E14">
        <f>"Gear_Name_"&amp;Gear[[#This Row],[id]]</f>
        <v/>
      </c>
      <c r="F14">
        <f>"Gear_Desc_"&amp;Gear[[#This Row],[id]]</f>
        <v/>
      </c>
      <c r="G14" t="inlineStr">
        <is>
          <t>icon_weapon_p1911</t>
        </is>
      </c>
      <c r="H14" t="inlineStr">
        <is>
          <t>Common</t>
        </is>
      </c>
      <c r="I14" t="n">
        <v>1</v>
      </c>
      <c r="J14" s="2" t="n">
        <v>1</v>
      </c>
    </row>
    <row r="15">
      <c r="A15" t="n">
        <v>230014</v>
      </c>
      <c r="B15" t="inlineStr">
        <is>
          <t>스킬웨폰</t>
        </is>
      </c>
      <c r="C15" t="inlineStr">
        <is>
          <t>에이전트_스킬</t>
        </is>
      </c>
      <c r="D15" t="inlineStr">
        <is>
          <t>Weapon</t>
        </is>
      </c>
      <c r="E15">
        <f>"Gear_Name_"&amp;Gear[[#This Row],[id]]</f>
        <v/>
      </c>
      <c r="F15">
        <f>"Gear_Desc_"&amp;Gear[[#This Row],[id]]</f>
        <v/>
      </c>
      <c r="G15" s="3" t="inlineStr">
        <is>
          <t>null</t>
        </is>
      </c>
      <c r="H15" t="inlineStr">
        <is>
          <t>Common</t>
        </is>
      </c>
      <c r="I15" t="n">
        <v>1</v>
      </c>
      <c r="J15" s="2" t="n">
        <v>1</v>
      </c>
    </row>
    <row r="16">
      <c r="A16" t="n">
        <v>230015</v>
      </c>
      <c r="B16" t="inlineStr">
        <is>
          <t>스킬웨폰</t>
        </is>
      </c>
      <c r="C16" t="inlineStr">
        <is>
          <t>에이전트_궁</t>
        </is>
      </c>
      <c r="D16" t="inlineStr">
        <is>
          <t>Weapon</t>
        </is>
      </c>
      <c r="E16">
        <f>"Gear_Name_"&amp;Gear[[#This Row],[id]]</f>
        <v/>
      </c>
      <c r="F16">
        <f>"Gear_Desc_"&amp;Gear[[#This Row],[id]]</f>
        <v/>
      </c>
      <c r="G16" s="3" t="inlineStr">
        <is>
          <t>icon_weapon_awm</t>
        </is>
      </c>
      <c r="H16" t="inlineStr">
        <is>
          <t>Rare</t>
        </is>
      </c>
      <c r="I16" t="n">
        <v>1</v>
      </c>
      <c r="J16" s="2" t="n">
        <v>4</v>
      </c>
    </row>
    <row r="17">
      <c r="A17" s="29" t="n">
        <v>230016</v>
      </c>
      <c r="B17" s="29" t="inlineStr">
        <is>
          <t>스킬웨폰</t>
        </is>
      </c>
      <c r="C17" s="29" t="inlineStr">
        <is>
          <t>에이전트_스킬(임시)</t>
        </is>
      </c>
      <c r="D17" s="29" t="inlineStr">
        <is>
          <t>Weapon</t>
        </is>
      </c>
      <c r="E17" s="29">
        <f>"Gear_Name_"&amp;Gear[[#This Row],[id]]</f>
        <v/>
      </c>
      <c r="F17" s="29">
        <f>"Gear_Desc_"&amp;Gear[[#This Row],[id]]</f>
        <v/>
      </c>
      <c r="G17" s="29" t="inlineStr">
        <is>
          <t>icon_weapon_m67</t>
        </is>
      </c>
      <c r="H17" s="29" t="inlineStr">
        <is>
          <t>Common</t>
        </is>
      </c>
      <c r="I17" s="29" t="n">
        <v>1</v>
      </c>
      <c r="J17" s="30" t="n">
        <v>3</v>
      </c>
    </row>
    <row r="18">
      <c r="A18" t="n">
        <v>240011</v>
      </c>
      <c r="B18" t="inlineStr">
        <is>
          <t>무기</t>
        </is>
      </c>
      <c r="C18" t="inlineStr">
        <is>
          <t>메카닉_메인1</t>
        </is>
      </c>
      <c r="D18" t="inlineStr">
        <is>
          <t>Weapon</t>
        </is>
      </c>
      <c r="E18">
        <f>"Gear_Name_"&amp;Gear[[#This Row],[id]]</f>
        <v/>
      </c>
      <c r="F18">
        <f>"Gear_Desc_"&amp;Gear[[#This Row],[id]]</f>
        <v/>
      </c>
      <c r="G18" t="inlineStr">
        <is>
          <t>icon_weapon_m16a4</t>
        </is>
      </c>
      <c r="H18" t="inlineStr">
        <is>
          <t>Common</t>
        </is>
      </c>
      <c r="I18" t="n">
        <v>1</v>
      </c>
      <c r="J18" s="2" t="n">
        <v>1</v>
      </c>
    </row>
    <row r="19">
      <c r="A19" t="n">
        <v>240012</v>
      </c>
      <c r="B19" t="inlineStr">
        <is>
          <t>무기</t>
        </is>
      </c>
      <c r="C19" t="inlineStr">
        <is>
          <t>메카닉_메인2</t>
        </is>
      </c>
      <c r="D19" t="inlineStr">
        <is>
          <t>Weapon</t>
        </is>
      </c>
      <c r="E19">
        <f>"Gear_Name_"&amp;Gear[[#This Row],[id]]</f>
        <v/>
      </c>
      <c r="F19">
        <f>"Gear_Desc_"&amp;Gear[[#This Row],[id]]</f>
        <v/>
      </c>
      <c r="G19" t="inlineStr">
        <is>
          <t>icon_weapon_slr</t>
        </is>
      </c>
      <c r="H19" t="inlineStr">
        <is>
          <t>Common</t>
        </is>
      </c>
      <c r="I19" t="n">
        <v>1</v>
      </c>
      <c r="J19" s="2" t="n">
        <v>2</v>
      </c>
    </row>
    <row r="20" ht="17.25" customHeight="1">
      <c r="A20" t="n">
        <v>240013</v>
      </c>
      <c r="B20" t="inlineStr">
        <is>
          <t>무기</t>
        </is>
      </c>
      <c r="C20" t="inlineStr">
        <is>
          <t>메카닉_서브</t>
        </is>
      </c>
      <c r="D20" t="inlineStr">
        <is>
          <t>Weapon</t>
        </is>
      </c>
      <c r="E20">
        <f>"Gear_Name_"&amp;Gear[[#This Row],[id]]</f>
        <v/>
      </c>
      <c r="F20">
        <f>"Gear_Desc_"&amp;Gear[[#This Row],[id]]</f>
        <v/>
      </c>
      <c r="G20" t="inlineStr">
        <is>
          <t>icon_weapon_healing_pistol</t>
        </is>
      </c>
      <c r="H20" t="inlineStr">
        <is>
          <t>Common</t>
        </is>
      </c>
      <c r="I20" t="n">
        <v>1</v>
      </c>
      <c r="J20" s="2" t="n">
        <v>1</v>
      </c>
    </row>
    <row r="21" ht="18" customHeight="1">
      <c r="A21" t="n">
        <v>240014</v>
      </c>
      <c r="B21" t="inlineStr">
        <is>
          <t>스킬웨폰</t>
        </is>
      </c>
      <c r="C21" t="inlineStr">
        <is>
          <t>Skill_방해전파장치</t>
        </is>
      </c>
      <c r="D21" t="inlineStr">
        <is>
          <t>Weapon</t>
        </is>
      </c>
      <c r="E21">
        <f>"Gear_Name_"&amp;Gear[[#This Row],[id]]</f>
        <v/>
      </c>
      <c r="F21">
        <f>"Gear_Desc_"&amp;Gear[[#This Row],[id]]</f>
        <v/>
      </c>
      <c r="G21" s="3" t="inlineStr">
        <is>
          <t>null</t>
        </is>
      </c>
      <c r="H21" t="inlineStr">
        <is>
          <t>Common</t>
        </is>
      </c>
      <c r="I21" t="n">
        <v>1</v>
      </c>
      <c r="J21" s="2" t="n">
        <v>1</v>
      </c>
    </row>
    <row r="22" ht="17.25" customHeight="1">
      <c r="A22" t="n">
        <v>240015</v>
      </c>
      <c r="B22" t="inlineStr">
        <is>
          <t>스킬웨폰</t>
        </is>
      </c>
      <c r="C22" t="inlineStr">
        <is>
          <t>Skill_바이러스노드</t>
        </is>
      </c>
      <c r="D22" t="inlineStr">
        <is>
          <t>Weapon</t>
        </is>
      </c>
      <c r="E22">
        <f>"Gear_Name_"&amp;Gear[[#This Row],[id]]</f>
        <v/>
      </c>
      <c r="F22">
        <f>"Gear_Desc_"&amp;Gear[[#This Row],[id]]</f>
        <v/>
      </c>
      <c r="G22" s="3" t="inlineStr">
        <is>
          <t>null</t>
        </is>
      </c>
      <c r="H22" t="inlineStr">
        <is>
          <t>Rare</t>
        </is>
      </c>
      <c r="I22" t="n">
        <v>1</v>
      </c>
      <c r="J22" s="2" t="n">
        <v>3</v>
      </c>
    </row>
    <row r="23" ht="17.25" customFormat="1" customHeight="1" s="27">
      <c r="A23" s="27" t="n">
        <v>240016</v>
      </c>
      <c r="B23" s="27" t="inlineStr">
        <is>
          <t>스킬웨폰</t>
        </is>
      </c>
      <c r="C23" s="27" t="inlineStr">
        <is>
          <t>메카닉_스킬_큐브</t>
        </is>
      </c>
      <c r="D23" s="27" t="inlineStr">
        <is>
          <t>Weapon</t>
        </is>
      </c>
      <c r="E23" s="27">
        <f>"Gear_Name_"&amp;Gear[[#This Row],[id]]</f>
        <v/>
      </c>
      <c r="F23" s="27">
        <f>"Gear_Desc_"&amp;Gear[[#This Row],[id]]</f>
        <v/>
      </c>
      <c r="G23" s="27" t="inlineStr">
        <is>
          <t>null</t>
        </is>
      </c>
      <c r="H23" s="27" t="inlineStr">
        <is>
          <t>Common</t>
        </is>
      </c>
      <c r="I23" s="27" t="n">
        <v>1</v>
      </c>
      <c r="J23" s="28" t="n">
        <v>3</v>
      </c>
    </row>
    <row r="24" customFormat="1" s="23">
      <c r="A24" s="24" t="n">
        <v>210021</v>
      </c>
      <c r="B24" s="23" t="inlineStr">
        <is>
          <t>무기(new 테스트)</t>
        </is>
      </c>
      <c r="C24" s="23" t="inlineStr">
        <is>
          <t>뱅가드_메인1</t>
        </is>
      </c>
      <c r="D24" s="23" t="inlineStr">
        <is>
          <t>Weapon</t>
        </is>
      </c>
      <c r="E24" s="23" t="inlineStr">
        <is>
          <t>Gear_Name_210011</t>
        </is>
      </c>
      <c r="F24" s="23" t="inlineStr">
        <is>
          <t>Gear_Desc_210011</t>
        </is>
      </c>
      <c r="G24" s="23" t="inlineStr">
        <is>
          <t>icon_weapon_s1897</t>
        </is>
      </c>
      <c r="H24" s="23" t="inlineStr">
        <is>
          <t>Common</t>
        </is>
      </c>
      <c r="I24" s="23" t="n">
        <v>1</v>
      </c>
      <c r="J24" s="25" t="n">
        <v>1</v>
      </c>
    </row>
    <row r="25" customFormat="1" s="23">
      <c r="A25" s="24" t="n">
        <v>210022</v>
      </c>
      <c r="B25" s="23" t="inlineStr">
        <is>
          <t>무기(new 테스트)</t>
        </is>
      </c>
      <c r="C25" s="23" t="inlineStr">
        <is>
          <t>뱅가드_메인2</t>
        </is>
      </c>
      <c r="D25" s="23" t="inlineStr">
        <is>
          <t>Weapon</t>
        </is>
      </c>
      <c r="E25" s="23" t="inlineStr">
        <is>
          <t>Gear_Name_210012</t>
        </is>
      </c>
      <c r="F25" s="23" t="inlineStr">
        <is>
          <t>Gear_Desc_210012</t>
        </is>
      </c>
      <c r="G25" s="23" t="inlineStr">
        <is>
          <t>icon_weapon_ump</t>
        </is>
      </c>
      <c r="H25" s="23" t="inlineStr">
        <is>
          <t>Common</t>
        </is>
      </c>
      <c r="I25" s="23" t="n">
        <v>1</v>
      </c>
      <c r="J25" s="25" t="n">
        <v>1</v>
      </c>
    </row>
    <row r="26" customFormat="1" s="23">
      <c r="A26" s="24" t="n">
        <v>210023</v>
      </c>
      <c r="B26" s="23" t="inlineStr">
        <is>
          <t>무기(new 테스트)</t>
        </is>
      </c>
      <c r="C26" s="23" t="inlineStr">
        <is>
          <t>뱅가드_서브</t>
        </is>
      </c>
      <c r="D26" s="23" t="inlineStr">
        <is>
          <t>Weapon</t>
        </is>
      </c>
      <c r="E26" s="23" t="inlineStr">
        <is>
          <t>Gear_Name_210013</t>
        </is>
      </c>
      <c r="F26" s="23" t="inlineStr">
        <is>
          <t>Gear_Desc_210013</t>
        </is>
      </c>
      <c r="G26" s="23" t="inlineStr">
        <is>
          <t>icon_weapon_p92</t>
        </is>
      </c>
      <c r="H26" s="23" t="inlineStr">
        <is>
          <t>Common</t>
        </is>
      </c>
      <c r="I26" s="23" t="n">
        <v>1</v>
      </c>
      <c r="J26" s="25" t="n">
        <v>1</v>
      </c>
    </row>
    <row r="27" customFormat="1" s="23">
      <c r="A27" s="24" t="n">
        <v>220021</v>
      </c>
      <c r="B27" s="23" t="inlineStr">
        <is>
          <t>무기(new 테스트)</t>
        </is>
      </c>
      <c r="C27" s="23" t="inlineStr">
        <is>
          <t>스트라이커_메인1</t>
        </is>
      </c>
      <c r="D27" s="23" t="inlineStr">
        <is>
          <t>Weapon</t>
        </is>
      </c>
      <c r="E27" s="23" t="inlineStr">
        <is>
          <t>Gear_Name_220011</t>
        </is>
      </c>
      <c r="F27" s="23" t="inlineStr">
        <is>
          <t>Gear_Desc_220011</t>
        </is>
      </c>
      <c r="G27" s="23" t="inlineStr">
        <is>
          <t>icon_weapon_m416</t>
        </is>
      </c>
      <c r="H27" s="23" t="inlineStr">
        <is>
          <t>Common</t>
        </is>
      </c>
      <c r="I27" s="23" t="n">
        <v>1</v>
      </c>
      <c r="J27" s="25" t="n">
        <v>1</v>
      </c>
    </row>
    <row r="28" customFormat="1" s="23">
      <c r="A28" s="24" t="n">
        <v>220022</v>
      </c>
      <c r="B28" s="23" t="inlineStr">
        <is>
          <t>무기(new 테스트)</t>
        </is>
      </c>
      <c r="C28" s="23" t="inlineStr">
        <is>
          <t>스트라이커_메인2</t>
        </is>
      </c>
      <c r="D28" s="23" t="inlineStr">
        <is>
          <t>Weapon</t>
        </is>
      </c>
      <c r="E28" s="23" t="inlineStr">
        <is>
          <t>Gear_Name_220012</t>
        </is>
      </c>
      <c r="F28" s="23" t="inlineStr">
        <is>
          <t>Gear_Desc_220012</t>
        </is>
      </c>
      <c r="G28" s="23" t="inlineStr">
        <is>
          <t>icon_weapon_m249</t>
        </is>
      </c>
      <c r="H28" s="23" t="inlineStr">
        <is>
          <t>Common</t>
        </is>
      </c>
      <c r="I28" s="23" t="n">
        <v>1</v>
      </c>
      <c r="J28" s="25" t="n">
        <v>1</v>
      </c>
    </row>
    <row r="29" customFormat="1" s="23">
      <c r="A29" s="24" t="n">
        <v>220023</v>
      </c>
      <c r="B29" s="23" t="inlineStr">
        <is>
          <t>무기(new 테스트)</t>
        </is>
      </c>
      <c r="C29" s="23" t="inlineStr">
        <is>
          <t>스트라이커_서브</t>
        </is>
      </c>
      <c r="D29" s="23" t="inlineStr">
        <is>
          <t>Weapon</t>
        </is>
      </c>
      <c r="E29" s="23" t="inlineStr">
        <is>
          <t>Gear_Name_220013</t>
        </is>
      </c>
      <c r="F29" s="23" t="inlineStr">
        <is>
          <t>Gear_Desc_220013</t>
        </is>
      </c>
      <c r="G29" s="23" t="inlineStr">
        <is>
          <t>icon_weapon_deagle</t>
        </is>
      </c>
      <c r="H29" s="23" t="inlineStr">
        <is>
          <t>Common</t>
        </is>
      </c>
      <c r="I29" s="23" t="n">
        <v>1</v>
      </c>
      <c r="J29" s="25" t="n">
        <v>1</v>
      </c>
    </row>
    <row r="30" customFormat="1" s="23">
      <c r="A30" s="24" t="n">
        <v>220024</v>
      </c>
      <c r="B30" s="23" t="inlineStr">
        <is>
          <t>무기(new 테스트)</t>
        </is>
      </c>
      <c r="C30" s="23" t="inlineStr">
        <is>
          <t>스트라이커_궁</t>
        </is>
      </c>
      <c r="D30" s="23" t="inlineStr">
        <is>
          <t>Weapon</t>
        </is>
      </c>
      <c r="E30" s="23" t="inlineStr">
        <is>
          <t>Gear_Name_220014</t>
        </is>
      </c>
      <c r="F30" s="23" t="inlineStr">
        <is>
          <t>Gear_Desc_220014</t>
        </is>
      </c>
      <c r="G30" s="23" t="inlineStr">
        <is>
          <t>icon_weapon_striker_rocket_launcher</t>
        </is>
      </c>
      <c r="H30" s="23" t="inlineStr">
        <is>
          <t>Rare</t>
        </is>
      </c>
      <c r="I30" s="23" t="n">
        <v>1</v>
      </c>
      <c r="J30" s="25" t="n">
        <v>1</v>
      </c>
    </row>
    <row r="31" customFormat="1" s="23">
      <c r="A31" s="24" t="n">
        <v>230021</v>
      </c>
      <c r="B31" s="23" t="inlineStr">
        <is>
          <t>무기(new 테스트)</t>
        </is>
      </c>
      <c r="C31" s="23" t="inlineStr">
        <is>
          <t>에이전트_메인1</t>
        </is>
      </c>
      <c r="D31" s="23" t="inlineStr">
        <is>
          <t>Weapon</t>
        </is>
      </c>
      <c r="E31" s="23" t="inlineStr">
        <is>
          <t>Gear_Name_230011</t>
        </is>
      </c>
      <c r="F31" s="23" t="inlineStr">
        <is>
          <t>Gear_Desc_230011</t>
        </is>
      </c>
      <c r="G31" s="23" t="inlineStr">
        <is>
          <t>icon_weapon_vector</t>
        </is>
      </c>
      <c r="H31" s="23" t="inlineStr">
        <is>
          <t>Common</t>
        </is>
      </c>
      <c r="I31" s="23" t="n">
        <v>1</v>
      </c>
      <c r="J31" s="25" t="n">
        <v>1</v>
      </c>
    </row>
    <row r="32" customFormat="1" s="23">
      <c r="A32" s="24" t="n">
        <v>230022</v>
      </c>
      <c r="B32" s="23" t="inlineStr">
        <is>
          <t>무기(new 테스트)</t>
        </is>
      </c>
      <c r="C32" s="23" t="inlineStr">
        <is>
          <t>에이전트_메인2</t>
        </is>
      </c>
      <c r="D32" s="23" t="inlineStr">
        <is>
          <t>Weapon</t>
        </is>
      </c>
      <c r="E32" s="23" t="inlineStr">
        <is>
          <t>Gear_Name_230012</t>
        </is>
      </c>
      <c r="F32" s="23" t="inlineStr">
        <is>
          <t>Gear_Desc_230012</t>
        </is>
      </c>
      <c r="G32" s="23" t="inlineStr">
        <is>
          <t>icon_weapon_awm</t>
        </is>
      </c>
      <c r="H32" s="23" t="inlineStr">
        <is>
          <t>Common</t>
        </is>
      </c>
      <c r="I32" s="23" t="n">
        <v>1</v>
      </c>
      <c r="J32" s="25" t="n">
        <v>1</v>
      </c>
    </row>
    <row r="33" customFormat="1" s="23">
      <c r="A33" s="24" t="n">
        <v>230023</v>
      </c>
      <c r="B33" s="23" t="inlineStr">
        <is>
          <t>무기(new 테스트)</t>
        </is>
      </c>
      <c r="C33" s="23" t="inlineStr">
        <is>
          <t>에이전트_서브</t>
        </is>
      </c>
      <c r="D33" s="23" t="inlineStr">
        <is>
          <t>Weapon</t>
        </is>
      </c>
      <c r="E33" s="23" t="inlineStr">
        <is>
          <t>Gear_Name_230013</t>
        </is>
      </c>
      <c r="F33" s="23" t="inlineStr">
        <is>
          <t>Gear_Desc_230013</t>
        </is>
      </c>
      <c r="G33" s="23" t="inlineStr">
        <is>
          <t>icon_weapon_p1911</t>
        </is>
      </c>
      <c r="H33" s="23" t="inlineStr">
        <is>
          <t>Common</t>
        </is>
      </c>
      <c r="I33" s="23" t="n">
        <v>1</v>
      </c>
      <c r="J33" s="25" t="n">
        <v>1</v>
      </c>
    </row>
    <row r="34" customFormat="1" s="23">
      <c r="A34" s="24" t="n">
        <v>240021</v>
      </c>
      <c r="B34" s="23" t="inlineStr">
        <is>
          <t>무기(new 테스트)</t>
        </is>
      </c>
      <c r="C34" s="23" t="inlineStr">
        <is>
          <t>메카닉_메인1</t>
        </is>
      </c>
      <c r="D34" s="23" t="inlineStr">
        <is>
          <t>Weapon</t>
        </is>
      </c>
      <c r="E34" s="23" t="inlineStr">
        <is>
          <t>Gear_Name_240011</t>
        </is>
      </c>
      <c r="F34" s="23" t="inlineStr">
        <is>
          <t>Gear_Desc_240011</t>
        </is>
      </c>
      <c r="G34" s="23" t="inlineStr">
        <is>
          <t>icon_weapon_m16a4</t>
        </is>
      </c>
      <c r="H34" s="23" t="inlineStr">
        <is>
          <t>Common</t>
        </is>
      </c>
      <c r="I34" s="23" t="n">
        <v>1</v>
      </c>
      <c r="J34" s="25" t="n">
        <v>1</v>
      </c>
    </row>
    <row r="35" customFormat="1" s="23">
      <c r="A35" s="24" t="n">
        <v>240022</v>
      </c>
      <c r="B35" s="23" t="inlineStr">
        <is>
          <t>무기(new 테스트)</t>
        </is>
      </c>
      <c r="C35" s="23" t="inlineStr">
        <is>
          <t>메카닉_메인2</t>
        </is>
      </c>
      <c r="D35" s="23" t="inlineStr">
        <is>
          <t>Weapon</t>
        </is>
      </c>
      <c r="E35" s="23" t="inlineStr">
        <is>
          <t>Gear_Name_240012</t>
        </is>
      </c>
      <c r="F35" s="23" t="inlineStr">
        <is>
          <t>Gear_Desc_240012</t>
        </is>
      </c>
      <c r="G35" s="23" t="inlineStr">
        <is>
          <t>icon_weapon_slr</t>
        </is>
      </c>
      <c r="H35" s="23" t="inlineStr">
        <is>
          <t>Common</t>
        </is>
      </c>
      <c r="I35" s="23" t="n">
        <v>1</v>
      </c>
      <c r="J35" s="25" t="n">
        <v>1</v>
      </c>
    </row>
    <row r="36" ht="17.25" customFormat="1" customHeight="1" s="23" thickBot="1">
      <c r="A36" s="26" t="n">
        <v>240023</v>
      </c>
      <c r="B36" s="23" t="inlineStr">
        <is>
          <t>무기(new 테스트)</t>
        </is>
      </c>
      <c r="C36" s="23" t="inlineStr">
        <is>
          <t>메카닉_서브</t>
        </is>
      </c>
      <c r="D36" s="23" t="inlineStr">
        <is>
          <t>Weapon</t>
        </is>
      </c>
      <c r="E36" s="23" t="inlineStr">
        <is>
          <t>Gear_Name_240013</t>
        </is>
      </c>
      <c r="F36" s="23" t="inlineStr">
        <is>
          <t>Gear_Desc_240013</t>
        </is>
      </c>
      <c r="G36" s="23" t="inlineStr">
        <is>
          <t>icon_weapon_healing_pistol</t>
        </is>
      </c>
      <c r="H36" s="23" t="inlineStr">
        <is>
          <t>Common</t>
        </is>
      </c>
      <c r="I36" s="23" t="n">
        <v>1</v>
      </c>
      <c r="J36" s="25" t="n">
        <v>1</v>
      </c>
    </row>
    <row r="37">
      <c r="A37" s="37" t="inlineStr">
        <is>
          <t>520011</t>
        </is>
      </c>
      <c r="B37" s="37" t="inlineStr">
        <is>
          <t>무기</t>
        </is>
      </c>
      <c r="C37" s="37" t="inlineStr">
        <is>
          <t>이두형_메인1</t>
        </is>
      </c>
      <c r="D37" s="37" t="inlineStr">
        <is>
          <t>Weapon</t>
        </is>
      </c>
      <c r="E37" s="37" t="inlineStr">
        <is>
          <t>Gear_Name_520011</t>
        </is>
      </c>
      <c r="F37" s="37" t="inlineStr">
        <is>
          <t>Gear_Desc_520011</t>
        </is>
      </c>
      <c r="G37" s="37" t="inlineStr">
        <is>
          <t>icon_weapon_m416</t>
        </is>
      </c>
      <c r="H37" s="37" t="inlineStr">
        <is>
          <t>Common</t>
        </is>
      </c>
      <c r="I37" s="37" t="inlineStr">
        <is>
          <t>1</t>
        </is>
      </c>
      <c r="J37" s="37" t="inlineStr">
        <is>
          <t>1</t>
        </is>
      </c>
    </row>
    <row r="38">
      <c r="A38" s="37" t="inlineStr">
        <is>
          <t>520012</t>
        </is>
      </c>
      <c r="B38" s="37" t="inlineStr">
        <is>
          <t>무기</t>
        </is>
      </c>
      <c r="C38" s="37" t="inlineStr">
        <is>
          <t>이두형_메인2</t>
        </is>
      </c>
      <c r="D38" s="37" t="inlineStr">
        <is>
          <t>Weapon</t>
        </is>
      </c>
      <c r="E38" s="37" t="inlineStr">
        <is>
          <t>Gear_Name_520012</t>
        </is>
      </c>
      <c r="F38" s="37" t="inlineStr">
        <is>
          <t>Gear_Desc_520012</t>
        </is>
      </c>
      <c r="G38" s="37" t="inlineStr">
        <is>
          <t>icon_weapon_m249</t>
        </is>
      </c>
      <c r="H38" s="37" t="inlineStr">
        <is>
          <t>Common</t>
        </is>
      </c>
      <c r="I38" s="37" t="inlineStr">
        <is>
          <t>1</t>
        </is>
      </c>
      <c r="J38" s="37" t="inlineStr">
        <is>
          <t>1</t>
        </is>
      </c>
    </row>
    <row r="39">
      <c r="A39" s="37" t="inlineStr">
        <is>
          <t>520013</t>
        </is>
      </c>
      <c r="B39" s="37" t="inlineStr">
        <is>
          <t>무기</t>
        </is>
      </c>
      <c r="C39" s="37" t="inlineStr">
        <is>
          <t>이두형_서브</t>
        </is>
      </c>
      <c r="D39" s="37" t="inlineStr">
        <is>
          <t>Weapon</t>
        </is>
      </c>
      <c r="E39" s="37" t="inlineStr">
        <is>
          <t>Gear_Name_520013</t>
        </is>
      </c>
      <c r="F39" s="37" t="inlineStr">
        <is>
          <t>Gear_Desc_520013</t>
        </is>
      </c>
      <c r="G39" s="37" t="inlineStr">
        <is>
          <t>icon_weapon_deagle</t>
        </is>
      </c>
      <c r="H39" s="37" t="inlineStr">
        <is>
          <t>Common</t>
        </is>
      </c>
      <c r="I39" s="37" t="inlineStr">
        <is>
          <t>1</t>
        </is>
      </c>
      <c r="J39" s="37" t="inlineStr">
        <is>
          <t>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5"/>
  <sheetViews>
    <sheetView tabSelected="1" zoomScale="85" workbookViewId="0">
      <pane xSplit="3" ySplit="2" topLeftCell="P3" activePane="bottomRight" state="frozen"/>
      <selection activeCell="A22" sqref="A22:XFD22"/>
      <selection pane="topRight" activeCell="A22" sqref="A22:XFD22"/>
      <selection pane="bottomLeft" activeCell="A22" sqref="A22:XFD22"/>
      <selection pane="bottomRight" activeCell="W17" sqref="W17"/>
    </sheetView>
  </sheetViews>
  <sheetFormatPr baseColWidth="8" defaultRowHeight="16.5"/>
  <cols>
    <col width="11" bestFit="1" customWidth="1" min="1" max="1"/>
    <col width="17" bestFit="1" customWidth="1" min="2" max="2"/>
    <col width="16.5" bestFit="1" customWidth="1" min="3" max="3"/>
    <col width="15.625" bestFit="1" customWidth="1" min="4" max="4"/>
    <col width="28.375" customWidth="1" min="5" max="5"/>
    <col width="16.5" customWidth="1" min="6" max="6"/>
    <col width="14.125" bestFit="1" customWidth="1" min="7" max="7"/>
    <col width="14.375" bestFit="1" customWidth="1" min="8" max="8"/>
    <col width="20" bestFit="1" customWidth="1" min="9" max="9"/>
    <col width="16.5" customWidth="1" min="10" max="11"/>
    <col width="18.375" bestFit="1" customWidth="1" min="12" max="12"/>
    <col width="21.5" bestFit="1" customWidth="1" min="13" max="13"/>
    <col width="17.75" bestFit="1" customWidth="1" min="14" max="14"/>
    <col width="17.625" bestFit="1" customWidth="1" min="15" max="15"/>
    <col width="17.625" customWidth="1" min="16" max="16"/>
    <col width="17.875" bestFit="1" customWidth="1" min="17" max="17"/>
    <col width="17.625" bestFit="1" customWidth="1" min="18" max="18"/>
    <col width="30.875" bestFit="1" customWidth="1" min="19" max="19"/>
    <col width="17.125" bestFit="1" customWidth="1" min="20" max="20"/>
    <col width="15.875" customWidth="1" min="21" max="21"/>
    <col width="17.125" customWidth="1" min="22" max="25"/>
    <col width="17.75" customWidth="1" min="26" max="26"/>
    <col width="14.125" customWidth="1" min="27" max="27"/>
    <col width="13.75" customWidth="1" min="28" max="28"/>
    <col width="15.875" customWidth="1" min="29" max="29"/>
    <col width="9" customWidth="1" min="30" max="30"/>
    <col width="15" customWidth="1" min="31" max="31"/>
    <col width="12.25" customWidth="1" min="32" max="32"/>
    <col width="24.125" customWidth="1" min="33" max="33"/>
    <col width="43.25" customWidth="1" min="34" max="34"/>
    <col width="28.375" customWidth="1" min="35" max="35"/>
    <col width="31.5" customWidth="1" min="36" max="36"/>
    <col width="32.875" customWidth="1" min="37" max="37"/>
    <col width="29.25" customWidth="1" min="38" max="39"/>
    <col width="29.125" customWidth="1" min="40" max="40"/>
    <col width="43.25" customWidth="1" min="41" max="42"/>
    <col width="20.625" customWidth="1" min="43" max="43"/>
  </cols>
  <sheetData>
    <row r="1">
      <c r="A1" t="inlineStr">
        <is>
          <t>DataGroup</t>
        </is>
      </c>
      <c r="B1" t="inlineStr">
        <is>
          <t>Weapon</t>
        </is>
      </c>
      <c r="H1" t="inlineStr">
        <is>
          <t>무기 생성 타입</t>
        </is>
      </c>
      <c r="I1" t="inlineStr">
        <is>
          <t>projectile_id에게 영향 주지않음</t>
        </is>
      </c>
      <c r="J1" t="inlineStr">
        <is>
          <t>대미지 속성 타입</t>
        </is>
      </c>
      <c r="R1" t="inlineStr">
        <is>
          <t>그룹id</t>
        </is>
      </c>
    </row>
    <row r="2">
      <c r="A2" t="inlineStr">
        <is>
          <t>id</t>
        </is>
      </c>
      <c r="B2" t="inlineStr">
        <is>
          <t>#group_memo</t>
        </is>
      </c>
      <c r="C2" t="inlineStr">
        <is>
          <t>#name_memo</t>
        </is>
      </c>
      <c r="D2" t="inlineStr">
        <is>
          <t>weapon_type</t>
        </is>
      </c>
      <c r="E2" t="inlineStr">
        <is>
          <t>weapon_type_icon</t>
        </is>
      </c>
      <c r="F2" t="inlineStr">
        <is>
          <t>fire_type</t>
        </is>
      </c>
      <c r="G2" t="inlineStr">
        <is>
          <t>ammo_type</t>
        </is>
      </c>
      <c r="H2" t="inlineStr">
        <is>
          <t>source_type</t>
        </is>
      </c>
      <c r="I2" t="inlineStr">
        <is>
          <t>fire_damage_type</t>
        </is>
      </c>
      <c r="J2" t="inlineStr">
        <is>
          <t>elemental_type</t>
        </is>
      </c>
      <c r="K2" t="inlineStr">
        <is>
          <t>aim_mode</t>
        </is>
      </c>
      <c r="L2" t="inlineStr">
        <is>
          <t>penetration_ally</t>
        </is>
      </c>
      <c r="M2" t="inlineStr">
        <is>
          <t>penetration_enemy</t>
        </is>
      </c>
      <c r="N2" t="inlineStr">
        <is>
          <t>penetration_bg</t>
        </is>
      </c>
      <c r="O2" t="inlineStr">
        <is>
          <t>auto_reload</t>
        </is>
      </c>
      <c r="P2" t="inlineStr">
        <is>
          <t>weapon_stat_id</t>
        </is>
      </c>
      <c r="Q2" t="inlineStr">
        <is>
          <t>weapon_self_stat_id</t>
        </is>
      </c>
      <c r="R2" t="inlineStr">
        <is>
          <t>default_skin_id</t>
        </is>
      </c>
      <c r="S2" t="inlineStr">
        <is>
          <t>weapon_fire_setting</t>
        </is>
      </c>
      <c r="T2" t="inlineStr">
        <is>
          <t>projectile_id</t>
        </is>
      </c>
      <c r="U2" t="inlineStr">
        <is>
          <t>passive_id</t>
        </is>
      </c>
      <c r="V2" t="inlineStr">
        <is>
          <t>on_hit_execute_id1</t>
        </is>
      </c>
      <c r="W2" t="inlineStr">
        <is>
          <t>on_hit_execute_id2</t>
        </is>
      </c>
      <c r="X2" t="inlineStr">
        <is>
          <t>aim_assist_target</t>
        </is>
      </c>
      <c r="Y2" t="inlineStr">
        <is>
          <t>auto_fire_target</t>
        </is>
      </c>
      <c r="Z2" t="inlineStr">
        <is>
          <t>crosshair_aim</t>
        </is>
      </c>
      <c r="AA2" t="inlineStr">
        <is>
          <t>crosshair_line</t>
        </is>
      </c>
      <c r="AB2" t="inlineStr">
        <is>
          <t>crosshair</t>
        </is>
      </c>
      <c r="AC2" t="inlineStr">
        <is>
          <t>block_move</t>
        </is>
      </c>
      <c r="AD2" t="inlineStr">
        <is>
          <t>block_jump</t>
        </is>
      </c>
      <c r="AE2" t="inlineStr">
        <is>
          <t>is_swap_clear</t>
        </is>
      </c>
      <c r="AF2" t="inlineStr">
        <is>
          <t>force_stance</t>
        </is>
      </c>
      <c r="AG2" t="inlineStr">
        <is>
          <t>force_aim</t>
        </is>
      </c>
      <c r="AH2" t="inlineStr">
        <is>
          <t>base_rotation_mode</t>
        </is>
      </c>
      <c r="AI2" t="inlineStr">
        <is>
          <t>block_jump_state</t>
        </is>
      </c>
      <c r="AJ2" t="inlineStr">
        <is>
          <t>camera_setting_stand_hip</t>
        </is>
      </c>
      <c r="AK2" t="inlineStr">
        <is>
          <t>camera_setting_stand_hip_fire</t>
        </is>
      </c>
      <c r="AL2" t="inlineStr">
        <is>
          <t>camera_setting_stand_aim</t>
        </is>
      </c>
      <c r="AM2" t="inlineStr">
        <is>
          <t>camera_setting_stand_ads</t>
        </is>
      </c>
      <c r="AN2" t="inlineStr">
        <is>
          <t>camera_setting_crouch_hip</t>
        </is>
      </c>
      <c r="AO2" t="inlineStr">
        <is>
          <t>camera_setting_crouch_hip_fire</t>
        </is>
      </c>
      <c r="AP2" t="inlineStr">
        <is>
          <t>camera_setting_crouch_aim</t>
        </is>
      </c>
      <c r="AQ2" t="inlineStr">
        <is>
          <t>camera_setting_crouch_ads</t>
        </is>
      </c>
      <c r="AR2" t="inlineStr">
        <is>
          <t>vinette_setting</t>
        </is>
      </c>
      <c r="AS2" t="inlineStr">
        <is>
          <t>autofire_condition</t>
        </is>
      </c>
      <c r="AT2" t="inlineStr">
        <is>
          <t>initial_aim_assist_state</t>
        </is>
      </c>
      <c r="AU2" t="inlineStr">
        <is>
          <t>initial_auto_fire_state</t>
        </is>
      </c>
    </row>
    <row r="3">
      <c r="A3" t="n">
        <v>210011</v>
      </c>
      <c r="B3" t="inlineStr">
        <is>
          <t>프리드웬_메인1</t>
        </is>
      </c>
      <c r="C3" t="inlineStr">
        <is>
          <t>SG_토르</t>
        </is>
      </c>
      <c r="D3" t="inlineStr">
        <is>
          <t>SG</t>
        </is>
      </c>
      <c r="E3" t="inlineStr">
        <is>
          <t>icon_weapontype_sg</t>
        </is>
      </c>
      <c r="F3" t="inlineStr">
        <is>
          <t>Auto</t>
        </is>
      </c>
      <c r="G3" t="inlineStr">
        <is>
          <t>Bullet</t>
        </is>
      </c>
      <c r="H3" t="inlineStr">
        <is>
          <t>Normal</t>
        </is>
      </c>
      <c r="I3" t="inlineStr">
        <is>
          <t>Damage</t>
        </is>
      </c>
      <c r="J3" t="inlineStr">
        <is>
          <t>Bullet</t>
        </is>
      </c>
      <c r="K3" t="inlineStr">
        <is>
          <t>Aim</t>
        </is>
      </c>
      <c r="L3" t="n">
        <v>1</v>
      </c>
      <c r="M3" t="n">
        <v>0</v>
      </c>
      <c r="N3" t="n">
        <v>0</v>
      </c>
      <c r="O3" t="n">
        <v>1</v>
      </c>
      <c r="P3" t="n">
        <v>210011</v>
      </c>
      <c r="Q3" t="n">
        <v>-1</v>
      </c>
      <c r="R3" t="n">
        <v>210011</v>
      </c>
      <c r="S3" t="inlineStr">
        <is>
          <t>WeaponFireSettings_sg_thor_Default</t>
        </is>
      </c>
      <c r="X3" t="inlineStr">
        <is>
          <t>Enemy</t>
        </is>
      </c>
      <c r="Y3" t="inlineStr">
        <is>
          <t>Enemy</t>
        </is>
      </c>
      <c r="Z3" t="inlineStr">
        <is>
          <t>Cross</t>
        </is>
      </c>
      <c r="AA3" t="inlineStr">
        <is>
          <t>RoundedEdge</t>
        </is>
      </c>
      <c r="AC3" t="n">
        <v>0</v>
      </c>
      <c r="AD3" t="n">
        <v>0</v>
      </c>
      <c r="AE3" t="n">
        <v>0</v>
      </c>
      <c r="AG3" t="inlineStr">
        <is>
          <t>None</t>
        </is>
      </c>
      <c r="AH3" t="inlineStr">
        <is>
          <t>None</t>
        </is>
      </c>
      <c r="AI3" t="n">
        <v>0</v>
      </c>
      <c r="AJ3" t="inlineStr">
        <is>
          <t>CameraSettings_Stand_Default</t>
        </is>
      </c>
      <c r="AK3" t="inlineStr">
        <is>
          <t>CameraSettings_Stand_HipFire</t>
        </is>
      </c>
      <c r="AL3" t="inlineStr">
        <is>
          <t>CameraSettings_Stand_Aim</t>
        </is>
      </c>
      <c r="AM3" t="inlineStr">
        <is>
          <t>CameraSettings_Stand_Ads</t>
        </is>
      </c>
      <c r="AN3" t="inlineStr">
        <is>
          <t>CameraSettings_Crouch_Default</t>
        </is>
      </c>
      <c r="AO3" t="inlineStr">
        <is>
          <t>CameraSettings_Crouch_HipFire</t>
        </is>
      </c>
      <c r="AP3" t="inlineStr">
        <is>
          <t>CameraSettings_Crouch_Aim</t>
        </is>
      </c>
      <c r="AQ3" t="inlineStr">
        <is>
          <t>CameraSettings_Crouch_Ads</t>
        </is>
      </c>
      <c r="AS3" t="inlineStr">
        <is>
          <t>Always</t>
        </is>
      </c>
    </row>
    <row r="4">
      <c r="A4" t="n">
        <v>210012</v>
      </c>
      <c r="B4" t="inlineStr">
        <is>
          <t>프리드웬_메인2</t>
        </is>
      </c>
      <c r="C4" t="inlineStr">
        <is>
          <t>SMG_벨리알</t>
        </is>
      </c>
      <c r="D4" t="inlineStr">
        <is>
          <t>SMG</t>
        </is>
      </c>
      <c r="E4" t="inlineStr">
        <is>
          <t>icon_weapontype_smg</t>
        </is>
      </c>
      <c r="F4" t="inlineStr">
        <is>
          <t>Auto</t>
        </is>
      </c>
      <c r="G4" t="inlineStr">
        <is>
          <t>Bullet</t>
        </is>
      </c>
      <c r="H4" t="inlineStr">
        <is>
          <t>Normal</t>
        </is>
      </c>
      <c r="I4" t="inlineStr">
        <is>
          <t>Damage</t>
        </is>
      </c>
      <c r="J4" t="inlineStr">
        <is>
          <t>Bullet</t>
        </is>
      </c>
      <c r="K4" t="inlineStr">
        <is>
          <t>Aim</t>
        </is>
      </c>
      <c r="L4" t="n">
        <v>1</v>
      </c>
      <c r="M4" t="n">
        <v>0</v>
      </c>
      <c r="N4" t="n">
        <v>0</v>
      </c>
      <c r="O4" t="n">
        <v>1</v>
      </c>
      <c r="P4" t="n">
        <v>210012</v>
      </c>
      <c r="Q4" t="n">
        <v>-1</v>
      </c>
      <c r="R4" t="n">
        <v>210012</v>
      </c>
      <c r="S4" t="inlineStr">
        <is>
          <t>WeaponFireSettings_smg_belial_Default</t>
        </is>
      </c>
      <c r="X4" t="inlineStr">
        <is>
          <t>Enemy</t>
        </is>
      </c>
      <c r="Y4" t="inlineStr">
        <is>
          <t>Enemy</t>
        </is>
      </c>
      <c r="Z4" t="inlineStr">
        <is>
          <t>Cross</t>
        </is>
      </c>
      <c r="AA4" t="inlineStr">
        <is>
          <t>RoundedEdge</t>
        </is>
      </c>
      <c r="AC4" t="n">
        <v>0</v>
      </c>
      <c r="AD4" t="n">
        <v>0</v>
      </c>
      <c r="AE4" t="n">
        <v>0</v>
      </c>
      <c r="AG4" t="inlineStr">
        <is>
          <t>None</t>
        </is>
      </c>
      <c r="AH4" t="inlineStr">
        <is>
          <t>None</t>
        </is>
      </c>
      <c r="AI4" t="n">
        <v>0</v>
      </c>
      <c r="AJ4" t="inlineStr">
        <is>
          <t>CameraSettings_Stand_Default</t>
        </is>
      </c>
      <c r="AK4" t="inlineStr">
        <is>
          <t>CameraSettings_Stand_HipFire</t>
        </is>
      </c>
      <c r="AL4" t="inlineStr">
        <is>
          <t>CameraSettings_Stand_Aim</t>
        </is>
      </c>
      <c r="AM4" t="inlineStr">
        <is>
          <t>CameraSettings_Stand_Ads</t>
        </is>
      </c>
      <c r="AN4" t="inlineStr">
        <is>
          <t>CameraSettings_Crouch_Default</t>
        </is>
      </c>
      <c r="AO4" t="inlineStr">
        <is>
          <t>CameraSettings_Crouch_HipFire</t>
        </is>
      </c>
      <c r="AP4" t="inlineStr">
        <is>
          <t>CameraSettings_Crouch_Aim</t>
        </is>
      </c>
      <c r="AQ4" t="inlineStr">
        <is>
          <t>CameraSettings_Crouch_Ads</t>
        </is>
      </c>
      <c r="AS4" t="inlineStr">
        <is>
          <t>Always</t>
        </is>
      </c>
    </row>
    <row r="5">
      <c r="A5" t="n">
        <v>210013</v>
      </c>
      <c r="B5" t="inlineStr">
        <is>
          <t>프리드웬_서브</t>
        </is>
      </c>
      <c r="C5" t="inlineStr">
        <is>
          <t>HG_니케</t>
        </is>
      </c>
      <c r="D5" t="inlineStr">
        <is>
          <t>HG</t>
        </is>
      </c>
      <c r="E5" t="inlineStr">
        <is>
          <t>icon_weapontype_hg</t>
        </is>
      </c>
      <c r="F5" t="inlineStr">
        <is>
          <t>Auto</t>
        </is>
      </c>
      <c r="G5" t="inlineStr">
        <is>
          <t>Bullet</t>
        </is>
      </c>
      <c r="H5" t="inlineStr">
        <is>
          <t>Normal</t>
        </is>
      </c>
      <c r="I5" t="inlineStr">
        <is>
          <t>Damage</t>
        </is>
      </c>
      <c r="J5" t="inlineStr">
        <is>
          <t>Bullet</t>
        </is>
      </c>
      <c r="K5" t="inlineStr">
        <is>
          <t>Aim</t>
        </is>
      </c>
      <c r="L5" t="n">
        <v>1</v>
      </c>
      <c r="M5" t="n">
        <v>0</v>
      </c>
      <c r="N5" t="n">
        <v>0</v>
      </c>
      <c r="O5" t="n">
        <v>1</v>
      </c>
      <c r="P5" t="n">
        <v>210013</v>
      </c>
      <c r="Q5" t="n">
        <v>-1</v>
      </c>
      <c r="R5" t="n">
        <v>210013</v>
      </c>
      <c r="S5" t="inlineStr">
        <is>
          <t>WeaponFireSettings_hg_nike_Default</t>
        </is>
      </c>
      <c r="X5" t="inlineStr">
        <is>
          <t>Enemy</t>
        </is>
      </c>
      <c r="Y5" t="inlineStr">
        <is>
          <t>Enemy</t>
        </is>
      </c>
      <c r="Z5" t="inlineStr">
        <is>
          <t>Cross</t>
        </is>
      </c>
      <c r="AA5" t="inlineStr">
        <is>
          <t>RoundedEdge</t>
        </is>
      </c>
      <c r="AC5" t="n">
        <v>0</v>
      </c>
      <c r="AD5" t="n">
        <v>0</v>
      </c>
      <c r="AE5" t="n">
        <v>0</v>
      </c>
      <c r="AG5" t="inlineStr">
        <is>
          <t>None</t>
        </is>
      </c>
      <c r="AH5" t="inlineStr">
        <is>
          <t>None</t>
        </is>
      </c>
      <c r="AI5" t="n">
        <v>0</v>
      </c>
      <c r="AJ5" t="inlineStr">
        <is>
          <t>CameraSettings_Stand_Default</t>
        </is>
      </c>
      <c r="AK5" t="inlineStr">
        <is>
          <t>CameraSettings_Stand_HipFire</t>
        </is>
      </c>
      <c r="AL5" t="inlineStr">
        <is>
          <t>CameraSettings_Stand_Aim</t>
        </is>
      </c>
      <c r="AM5" t="inlineStr">
        <is>
          <t>CameraSettings_Stand_Ads</t>
        </is>
      </c>
      <c r="AN5" t="inlineStr">
        <is>
          <t>CameraSettings_Crouch_Default</t>
        </is>
      </c>
      <c r="AO5" t="inlineStr">
        <is>
          <t>CameraSettings_Crouch_HipFire</t>
        </is>
      </c>
      <c r="AP5" t="inlineStr">
        <is>
          <t>CameraSettings_Crouch_Aim</t>
        </is>
      </c>
      <c r="AQ5" t="inlineStr">
        <is>
          <t>CameraSettings_Crouch_Ads</t>
        </is>
      </c>
      <c r="AS5" t="inlineStr">
        <is>
          <t>Always</t>
        </is>
      </c>
    </row>
    <row r="6">
      <c r="A6" t="n">
        <v>210014</v>
      </c>
      <c r="B6" t="inlineStr">
        <is>
          <t>프리드웬_전술방패</t>
        </is>
      </c>
      <c r="C6" t="inlineStr">
        <is>
          <t>Skill_전술방패</t>
        </is>
      </c>
      <c r="D6" t="inlineStr">
        <is>
          <t>Shield</t>
        </is>
      </c>
      <c r="E6" t="inlineStr">
        <is>
          <t>icon_weapontype_shield</t>
        </is>
      </c>
      <c r="H6" t="inlineStr">
        <is>
          <t>SkillWeapon</t>
        </is>
      </c>
      <c r="L6" t="n">
        <v>0</v>
      </c>
      <c r="M6" t="n">
        <v>0</v>
      </c>
      <c r="N6" t="n">
        <v>0</v>
      </c>
      <c r="O6" t="n">
        <v>1</v>
      </c>
      <c r="P6" t="n">
        <v>210014</v>
      </c>
      <c r="Q6" t="n">
        <v>210014</v>
      </c>
      <c r="R6" t="n">
        <v>210014</v>
      </c>
      <c r="X6" t="inlineStr">
        <is>
          <t>Enemy</t>
        </is>
      </c>
      <c r="Y6" t="inlineStr">
        <is>
          <t>Enemy</t>
        </is>
      </c>
      <c r="Z6" t="inlineStr">
        <is>
          <t>Cross</t>
        </is>
      </c>
      <c r="AA6" t="inlineStr">
        <is>
          <t>RoundedEdge</t>
        </is>
      </c>
      <c r="AC6" t="n">
        <v>0</v>
      </c>
      <c r="AD6" t="n">
        <v>1</v>
      </c>
      <c r="AE6" t="n">
        <v>0</v>
      </c>
      <c r="AF6" t="inlineStr">
        <is>
          <t>Stand</t>
        </is>
      </c>
      <c r="AG6" t="inlineStr">
        <is>
          <t>None</t>
        </is>
      </c>
      <c r="AH6" t="inlineStr">
        <is>
          <t>OrientRotationToCamera</t>
        </is>
      </c>
      <c r="AI6" t="n">
        <v>1</v>
      </c>
      <c r="AJ6" t="inlineStr">
        <is>
          <t>CameraSettings_Skill_Shield</t>
        </is>
      </c>
      <c r="AK6" t="inlineStr">
        <is>
          <t>CameraSettings_Skill_Shield</t>
        </is>
      </c>
      <c r="AL6" t="inlineStr">
        <is>
          <t>CameraSettings_Skill_Shield</t>
        </is>
      </c>
      <c r="AM6" t="inlineStr">
        <is>
          <t>CameraSettings_Skill_Shield</t>
        </is>
      </c>
      <c r="AN6" t="inlineStr">
        <is>
          <t>CameraSettings_Skill_Shield</t>
        </is>
      </c>
      <c r="AO6" t="inlineStr">
        <is>
          <t>CameraSettings_Skill_Shield</t>
        </is>
      </c>
      <c r="AP6" t="inlineStr">
        <is>
          <t>CameraSettings_Skill_Shield</t>
        </is>
      </c>
      <c r="AQ6" t="inlineStr">
        <is>
          <t>CameraSettings_Skill_Shield</t>
        </is>
      </c>
    </row>
    <row r="7">
      <c r="A7" t="n">
        <v>220011</v>
      </c>
      <c r="B7" t="inlineStr">
        <is>
          <t>카야_메인1</t>
        </is>
      </c>
      <c r="C7" t="inlineStr">
        <is>
          <t>AR_스위프트</t>
        </is>
      </c>
      <c r="D7" t="inlineStr">
        <is>
          <t>AR</t>
        </is>
      </c>
      <c r="E7" t="inlineStr">
        <is>
          <t>icon_weapontype_ar</t>
        </is>
      </c>
      <c r="F7" t="inlineStr">
        <is>
          <t>Auto</t>
        </is>
      </c>
      <c r="G7" t="inlineStr">
        <is>
          <t>Bullet</t>
        </is>
      </c>
      <c r="H7" t="inlineStr">
        <is>
          <t>Normal</t>
        </is>
      </c>
      <c r="I7" t="inlineStr">
        <is>
          <t>Damage</t>
        </is>
      </c>
      <c r="J7" t="inlineStr">
        <is>
          <t>Bullet</t>
        </is>
      </c>
      <c r="K7" t="inlineStr">
        <is>
          <t>Aim</t>
        </is>
      </c>
      <c r="L7" t="n">
        <v>1</v>
      </c>
      <c r="M7" t="n">
        <v>0</v>
      </c>
      <c r="N7" t="n">
        <v>0</v>
      </c>
      <c r="O7" t="n">
        <v>1</v>
      </c>
      <c r="P7" t="n">
        <v>220011</v>
      </c>
      <c r="Q7" t="n">
        <v>-1</v>
      </c>
      <c r="R7" t="n">
        <v>220011</v>
      </c>
      <c r="S7" t="inlineStr">
        <is>
          <t>WeaponFireSettings_ar_swift_Default</t>
        </is>
      </c>
      <c r="X7" t="inlineStr">
        <is>
          <t>Enemy</t>
        </is>
      </c>
      <c r="Y7" t="inlineStr">
        <is>
          <t>Enemy</t>
        </is>
      </c>
      <c r="Z7" t="inlineStr">
        <is>
          <t>Cross</t>
        </is>
      </c>
      <c r="AA7" t="inlineStr">
        <is>
          <t>RoundedEdge</t>
        </is>
      </c>
      <c r="AC7" t="n">
        <v>0</v>
      </c>
      <c r="AD7" t="n">
        <v>0</v>
      </c>
      <c r="AE7" t="n">
        <v>0</v>
      </c>
      <c r="AG7" t="inlineStr">
        <is>
          <t>None</t>
        </is>
      </c>
      <c r="AH7" t="inlineStr">
        <is>
          <t>None</t>
        </is>
      </c>
      <c r="AI7" t="n">
        <v>0</v>
      </c>
      <c r="AJ7" t="inlineStr">
        <is>
          <t>CameraSettings_Stand_Default</t>
        </is>
      </c>
      <c r="AK7" t="inlineStr">
        <is>
          <t>CameraSettings_Stand_HipFire</t>
        </is>
      </c>
      <c r="AL7" t="inlineStr">
        <is>
          <t>CameraSettings_Stand_Aim</t>
        </is>
      </c>
      <c r="AM7" t="inlineStr">
        <is>
          <t>CameraSettings_Stand_Ads</t>
        </is>
      </c>
      <c r="AN7" t="inlineStr">
        <is>
          <t>CameraSettings_Crouch_Default</t>
        </is>
      </c>
      <c r="AO7" t="inlineStr">
        <is>
          <t>CameraSettings_Crouch_HipFire</t>
        </is>
      </c>
      <c r="AP7" t="inlineStr">
        <is>
          <t>CameraSettings_Crouch_Aim</t>
        </is>
      </c>
      <c r="AQ7" t="inlineStr">
        <is>
          <t>CameraSettings_Crouch_Ads</t>
        </is>
      </c>
      <c r="AS7" t="inlineStr">
        <is>
          <t>Always</t>
        </is>
      </c>
    </row>
    <row r="8">
      <c r="A8" t="n">
        <v>220012</v>
      </c>
      <c r="B8" t="inlineStr">
        <is>
          <t>카야_메인2</t>
        </is>
      </c>
      <c r="C8" t="inlineStr">
        <is>
          <t>LMG_그리즐리</t>
        </is>
      </c>
      <c r="D8" t="inlineStr">
        <is>
          <t>LMG</t>
        </is>
      </c>
      <c r="E8" t="inlineStr">
        <is>
          <t>icon_weapontype_lmg</t>
        </is>
      </c>
      <c r="F8" t="inlineStr">
        <is>
          <t>Auto</t>
        </is>
      </c>
      <c r="G8" t="inlineStr">
        <is>
          <t>Bullet</t>
        </is>
      </c>
      <c r="H8" t="inlineStr">
        <is>
          <t>Normal</t>
        </is>
      </c>
      <c r="I8" t="inlineStr">
        <is>
          <t>Damage</t>
        </is>
      </c>
      <c r="J8" t="inlineStr">
        <is>
          <t>Bullet</t>
        </is>
      </c>
      <c r="K8" t="inlineStr">
        <is>
          <t>Aim</t>
        </is>
      </c>
      <c r="L8" t="n">
        <v>1</v>
      </c>
      <c r="M8" t="n">
        <v>0</v>
      </c>
      <c r="N8" t="n">
        <v>0</v>
      </c>
      <c r="O8" t="n">
        <v>1</v>
      </c>
      <c r="P8" t="n">
        <v>220012</v>
      </c>
      <c r="Q8" t="n">
        <v>-1</v>
      </c>
      <c r="R8" t="n">
        <v>220012</v>
      </c>
      <c r="S8" t="inlineStr">
        <is>
          <t>WeaponFireSettings_lmg_grizzly_Default</t>
        </is>
      </c>
      <c r="X8" t="inlineStr">
        <is>
          <t>Enemy</t>
        </is>
      </c>
      <c r="Y8" t="inlineStr">
        <is>
          <t>Enemy</t>
        </is>
      </c>
      <c r="Z8" t="inlineStr">
        <is>
          <t>Cross</t>
        </is>
      </c>
      <c r="AA8" t="inlineStr">
        <is>
          <t>RoundedEdge</t>
        </is>
      </c>
      <c r="AC8" t="n">
        <v>0</v>
      </c>
      <c r="AD8" t="n">
        <v>0</v>
      </c>
      <c r="AE8" t="n">
        <v>0</v>
      </c>
      <c r="AG8" t="inlineStr">
        <is>
          <t>None</t>
        </is>
      </c>
      <c r="AH8" t="inlineStr">
        <is>
          <t>None</t>
        </is>
      </c>
      <c r="AI8" t="n">
        <v>0</v>
      </c>
      <c r="AJ8" t="inlineStr">
        <is>
          <t>CameraSettings_Stand_Default</t>
        </is>
      </c>
      <c r="AK8" t="inlineStr">
        <is>
          <t>CameraSettings_Stand_HipFire</t>
        </is>
      </c>
      <c r="AL8" t="inlineStr">
        <is>
          <t>CameraSettings_Stand_Aim</t>
        </is>
      </c>
      <c r="AM8" t="inlineStr">
        <is>
          <t>CameraSettings_Stand_Ads</t>
        </is>
      </c>
      <c r="AN8" t="inlineStr">
        <is>
          <t>CameraSettings_Crouch_Default</t>
        </is>
      </c>
      <c r="AO8" t="inlineStr">
        <is>
          <t>CameraSettings_Crouch_HipFire</t>
        </is>
      </c>
      <c r="AP8" t="inlineStr">
        <is>
          <t>CameraSettings_Crouch_Aim</t>
        </is>
      </c>
      <c r="AQ8" t="inlineStr">
        <is>
          <t>CameraSettings_Crouch_Ads</t>
        </is>
      </c>
      <c r="AS8" t="inlineStr">
        <is>
          <t>Always</t>
        </is>
      </c>
    </row>
    <row r="9">
      <c r="A9" t="n">
        <v>220013</v>
      </c>
      <c r="B9" t="inlineStr">
        <is>
          <t>카야_서브</t>
        </is>
      </c>
      <c r="C9" t="inlineStr">
        <is>
          <t>HG_헤라</t>
        </is>
      </c>
      <c r="D9" t="inlineStr">
        <is>
          <t>HG</t>
        </is>
      </c>
      <c r="E9" t="inlineStr">
        <is>
          <t>icon_weapontype_hg</t>
        </is>
      </c>
      <c r="F9" t="inlineStr">
        <is>
          <t>Auto</t>
        </is>
      </c>
      <c r="G9" t="inlineStr">
        <is>
          <t>Bullet</t>
        </is>
      </c>
      <c r="H9" t="inlineStr">
        <is>
          <t>Normal</t>
        </is>
      </c>
      <c r="I9" t="inlineStr">
        <is>
          <t>Damage</t>
        </is>
      </c>
      <c r="J9" t="inlineStr">
        <is>
          <t>Bullet</t>
        </is>
      </c>
      <c r="K9" t="inlineStr">
        <is>
          <t>Aim</t>
        </is>
      </c>
      <c r="L9" t="n">
        <v>1</v>
      </c>
      <c r="M9" t="n">
        <v>0</v>
      </c>
      <c r="N9" t="n">
        <v>0</v>
      </c>
      <c r="O9" t="n">
        <v>1</v>
      </c>
      <c r="P9" t="n">
        <v>220013</v>
      </c>
      <c r="Q9" t="n">
        <v>-1</v>
      </c>
      <c r="R9" t="n">
        <v>220013</v>
      </c>
      <c r="S9" t="inlineStr">
        <is>
          <t>WeaponFireSettings_hg_hera_Default</t>
        </is>
      </c>
      <c r="X9" t="inlineStr">
        <is>
          <t>Enemy</t>
        </is>
      </c>
      <c r="Y9" t="inlineStr">
        <is>
          <t>Enemy</t>
        </is>
      </c>
      <c r="Z9" t="inlineStr">
        <is>
          <t>Cross</t>
        </is>
      </c>
      <c r="AA9" t="inlineStr">
        <is>
          <t>RoundedEdge</t>
        </is>
      </c>
      <c r="AC9" t="n">
        <v>0</v>
      </c>
      <c r="AD9" t="n">
        <v>0</v>
      </c>
      <c r="AE9" t="n">
        <v>0</v>
      </c>
      <c r="AG9" t="inlineStr">
        <is>
          <t>None</t>
        </is>
      </c>
      <c r="AH9" t="inlineStr">
        <is>
          <t>None</t>
        </is>
      </c>
      <c r="AI9" t="n">
        <v>0</v>
      </c>
      <c r="AJ9" t="inlineStr">
        <is>
          <t>CameraSettings_Stand_Default</t>
        </is>
      </c>
      <c r="AK9" t="inlineStr">
        <is>
          <t>CameraSettings_Stand_HipFire</t>
        </is>
      </c>
      <c r="AL9" t="inlineStr">
        <is>
          <t>CameraSettings_Stand_Aim</t>
        </is>
      </c>
      <c r="AM9" t="inlineStr">
        <is>
          <t>CameraSettings_Stand_Ads</t>
        </is>
      </c>
      <c r="AN9" t="inlineStr">
        <is>
          <t>CameraSettings_Crouch_Default</t>
        </is>
      </c>
      <c r="AO9" t="inlineStr">
        <is>
          <t>CameraSettings_Crouch_HipFire</t>
        </is>
      </c>
      <c r="AP9" t="inlineStr">
        <is>
          <t>CameraSettings_Crouch_Aim</t>
        </is>
      </c>
      <c r="AQ9" t="inlineStr">
        <is>
          <t>CameraSettings_Crouch_Ads</t>
        </is>
      </c>
      <c r="AS9" t="inlineStr">
        <is>
          <t>Always</t>
        </is>
      </c>
    </row>
    <row r="10">
      <c r="A10" t="n">
        <v>220014</v>
      </c>
      <c r="B10" t="inlineStr">
        <is>
          <t>카야_궁</t>
        </is>
      </c>
      <c r="C10" t="inlineStr">
        <is>
          <t>Skill_대전차로켓</t>
        </is>
      </c>
      <c r="D10" t="inlineStr">
        <is>
          <t>Special</t>
        </is>
      </c>
      <c r="E10" t="inlineStr">
        <is>
          <t>icon_weapontype_special</t>
        </is>
      </c>
      <c r="F10" t="inlineStr">
        <is>
          <t>Auto</t>
        </is>
      </c>
      <c r="H10" t="inlineStr">
        <is>
          <t>SkillWeapon</t>
        </is>
      </c>
      <c r="I10" t="inlineStr">
        <is>
          <t>Damage</t>
        </is>
      </c>
      <c r="J10" t="inlineStr">
        <is>
          <t>Splash</t>
        </is>
      </c>
      <c r="K10" t="inlineStr">
        <is>
          <t>Aim</t>
        </is>
      </c>
      <c r="L10" t="n">
        <v>1</v>
      </c>
      <c r="M10" t="n">
        <v>0</v>
      </c>
      <c r="N10" t="n">
        <v>0</v>
      </c>
      <c r="O10" t="n">
        <v>1</v>
      </c>
      <c r="P10" t="n">
        <v>220014</v>
      </c>
      <c r="Q10" t="n">
        <v>-1</v>
      </c>
      <c r="R10" t="n">
        <v>220014</v>
      </c>
      <c r="S10" t="inlineStr">
        <is>
          <t>WeaponFireSettings_sw_striker_rocket_launcher_Default</t>
        </is>
      </c>
      <c r="T10" t="n">
        <v>2200141</v>
      </c>
      <c r="U10" t="n">
        <v>200130</v>
      </c>
      <c r="X10" t="inlineStr">
        <is>
          <t>None</t>
        </is>
      </c>
      <c r="Y10" t="inlineStr">
        <is>
          <t>Enemy</t>
        </is>
      </c>
      <c r="Z10" t="inlineStr">
        <is>
          <t>Launcher</t>
        </is>
      </c>
      <c r="AA10" t="inlineStr">
        <is>
          <t>None</t>
        </is>
      </c>
      <c r="AB10" t="inlineStr">
        <is>
          <t>crosshair_launcher</t>
        </is>
      </c>
      <c r="AC10" t="n">
        <v>0</v>
      </c>
      <c r="AD10" t="n">
        <v>1</v>
      </c>
      <c r="AE10" t="n">
        <v>1</v>
      </c>
      <c r="AG10" t="inlineStr">
        <is>
          <t>Aim</t>
        </is>
      </c>
      <c r="AH10" t="inlineStr">
        <is>
          <t>None</t>
        </is>
      </c>
      <c r="AI10" t="n">
        <v>0</v>
      </c>
      <c r="AJ10" t="inlineStr">
        <is>
          <t>CameraSettings_Stand_Aim_RocketLauncher</t>
        </is>
      </c>
      <c r="AK10" t="inlineStr">
        <is>
          <t>CameraSettings_Stand_Aim_RocketLauncher</t>
        </is>
      </c>
      <c r="AL10" t="inlineStr">
        <is>
          <t>CameraSettings_Stand_Aim_RocketLauncher</t>
        </is>
      </c>
      <c r="AM10" t="inlineStr">
        <is>
          <t>CameraSettings_Stand_Aim_RocketLauncher</t>
        </is>
      </c>
      <c r="AN10" t="inlineStr">
        <is>
          <t>CameraSettings_Crouch_Aim_RocketLauncher</t>
        </is>
      </c>
      <c r="AO10" t="inlineStr">
        <is>
          <t>CameraSettings_Crouch_Aim_RocketLauncher</t>
        </is>
      </c>
      <c r="AP10" t="inlineStr">
        <is>
          <t>CameraSettings_Crouch_Aim_RocketLauncher</t>
        </is>
      </c>
      <c r="AQ10" t="inlineStr">
        <is>
          <t>CameraSettings_Crouch_Aim_RocketLauncher</t>
        </is>
      </c>
      <c r="AR10" t="inlineStr">
        <is>
          <t>VignetteSettings_Weapon_RocketLauncher</t>
        </is>
      </c>
      <c r="AS10" t="inlineStr">
        <is>
          <t>Always</t>
        </is>
      </c>
    </row>
    <row r="11">
      <c r="A11" t="n">
        <v>230011</v>
      </c>
      <c r="B11" t="inlineStr">
        <is>
          <t>엔젤_메인1</t>
        </is>
      </c>
      <c r="C11" t="inlineStr">
        <is>
          <t>SMG_아스타로트</t>
        </is>
      </c>
      <c r="D11" t="inlineStr">
        <is>
          <t>SMG</t>
        </is>
      </c>
      <c r="E11" t="inlineStr">
        <is>
          <t>icon_weapontype_smg</t>
        </is>
      </c>
      <c r="F11" t="inlineStr">
        <is>
          <t>Auto</t>
        </is>
      </c>
      <c r="G11" t="inlineStr">
        <is>
          <t>Bullet</t>
        </is>
      </c>
      <c r="H11" t="inlineStr">
        <is>
          <t>Normal</t>
        </is>
      </c>
      <c r="I11" t="inlineStr">
        <is>
          <t>Damage</t>
        </is>
      </c>
      <c r="J11" t="inlineStr">
        <is>
          <t>Bullet</t>
        </is>
      </c>
      <c r="K11" t="inlineStr">
        <is>
          <t>Aim</t>
        </is>
      </c>
      <c r="L11" t="n">
        <v>1</v>
      </c>
      <c r="M11" t="n">
        <v>0</v>
      </c>
      <c r="N11" t="n">
        <v>0</v>
      </c>
      <c r="O11" t="n">
        <v>1</v>
      </c>
      <c r="P11" t="n">
        <v>230011</v>
      </c>
      <c r="Q11" t="n">
        <v>-1</v>
      </c>
      <c r="R11" t="n">
        <v>230011</v>
      </c>
      <c r="S11" t="inlineStr">
        <is>
          <t>WeaponFireSettings_smg_vector_Default</t>
        </is>
      </c>
      <c r="X11" t="inlineStr">
        <is>
          <t>Enemy</t>
        </is>
      </c>
      <c r="Y11" t="inlineStr">
        <is>
          <t>Enemy</t>
        </is>
      </c>
      <c r="Z11" t="inlineStr">
        <is>
          <t>Cross</t>
        </is>
      </c>
      <c r="AA11" t="inlineStr">
        <is>
          <t>RoundedEdge</t>
        </is>
      </c>
      <c r="AC11" t="n">
        <v>0</v>
      </c>
      <c r="AD11" t="n">
        <v>0</v>
      </c>
      <c r="AE11" t="n">
        <v>0</v>
      </c>
      <c r="AG11" t="inlineStr">
        <is>
          <t>None</t>
        </is>
      </c>
      <c r="AH11" t="inlineStr">
        <is>
          <t>None</t>
        </is>
      </c>
      <c r="AI11" t="n">
        <v>0</v>
      </c>
      <c r="AJ11" t="inlineStr">
        <is>
          <t>CameraSettings_Stand_Default</t>
        </is>
      </c>
      <c r="AK11" t="inlineStr">
        <is>
          <t>CameraSettings_Stand_HipFire</t>
        </is>
      </c>
      <c r="AL11" t="inlineStr">
        <is>
          <t>CameraSettings_Stand_Aim</t>
        </is>
      </c>
      <c r="AM11" t="inlineStr">
        <is>
          <t>CameraSettings_Stand_Ads</t>
        </is>
      </c>
      <c r="AN11" t="inlineStr">
        <is>
          <t>CameraSettings_Crouch_Default</t>
        </is>
      </c>
      <c r="AO11" t="inlineStr">
        <is>
          <t>CameraSettings_Crouch_HipFire</t>
        </is>
      </c>
      <c r="AP11" t="inlineStr">
        <is>
          <t>CameraSettings_Crouch_Aim</t>
        </is>
      </c>
      <c r="AQ11" t="inlineStr">
        <is>
          <t>CameraSettings_Crouch_Ads</t>
        </is>
      </c>
      <c r="AS11" t="inlineStr">
        <is>
          <t>Always</t>
        </is>
      </c>
    </row>
    <row r="12">
      <c r="A12" t="n">
        <v>230012</v>
      </c>
      <c r="B12" t="inlineStr">
        <is>
          <t>엔젤_메인2</t>
        </is>
      </c>
      <c r="C12" t="inlineStr">
        <is>
          <t>SR_도미니온</t>
        </is>
      </c>
      <c r="D12" t="inlineStr">
        <is>
          <t>SR</t>
        </is>
      </c>
      <c r="E12" t="inlineStr">
        <is>
          <t>icon_weapontype_sr</t>
        </is>
      </c>
      <c r="F12" t="inlineStr">
        <is>
          <t>Semi</t>
        </is>
      </c>
      <c r="G12" t="inlineStr">
        <is>
          <t>Bullet</t>
        </is>
      </c>
      <c r="H12" t="inlineStr">
        <is>
          <t>Normal</t>
        </is>
      </c>
      <c r="I12" t="inlineStr">
        <is>
          <t>Damage</t>
        </is>
      </c>
      <c r="J12" t="inlineStr">
        <is>
          <t>Bullet</t>
        </is>
      </c>
      <c r="K12" t="inlineStr">
        <is>
          <t>Ads</t>
        </is>
      </c>
      <c r="L12" t="n">
        <v>1</v>
      </c>
      <c r="M12" t="n">
        <v>0</v>
      </c>
      <c r="N12" t="n">
        <v>0</v>
      </c>
      <c r="O12" t="n">
        <v>1</v>
      </c>
      <c r="P12" t="n">
        <v>230012</v>
      </c>
      <c r="Q12" t="n">
        <v>-1</v>
      </c>
      <c r="R12" t="n">
        <v>230012</v>
      </c>
      <c r="S12" t="inlineStr">
        <is>
          <t>WeaponFireSettings_sr_awm_Default</t>
        </is>
      </c>
      <c r="X12" t="inlineStr">
        <is>
          <t>Enemy</t>
        </is>
      </c>
      <c r="Y12" t="inlineStr">
        <is>
          <t>Enemy</t>
        </is>
      </c>
      <c r="Z12" t="inlineStr">
        <is>
          <t>Cross</t>
        </is>
      </c>
      <c r="AA12" t="inlineStr">
        <is>
          <t>RoundedEdge</t>
        </is>
      </c>
      <c r="AC12" t="n">
        <v>0</v>
      </c>
      <c r="AD12" t="n">
        <v>0</v>
      </c>
      <c r="AE12" t="n">
        <v>0</v>
      </c>
      <c r="AG12" t="inlineStr">
        <is>
          <t>None</t>
        </is>
      </c>
      <c r="AH12" t="inlineStr">
        <is>
          <t>None</t>
        </is>
      </c>
      <c r="AI12" t="n">
        <v>0</v>
      </c>
      <c r="AJ12" t="inlineStr">
        <is>
          <t>CameraSettings_Stand_Default</t>
        </is>
      </c>
      <c r="AK12" t="inlineStr">
        <is>
          <t>CameraSettings_Stand_HipFire</t>
        </is>
      </c>
      <c r="AL12" t="inlineStr">
        <is>
          <t>CameraSettings_Stand_Aim</t>
        </is>
      </c>
      <c r="AM12" t="inlineStr">
        <is>
          <t>CameraSettings_Stand_Ads</t>
        </is>
      </c>
      <c r="AN12" t="inlineStr">
        <is>
          <t>CameraSettings_Crouch_Default</t>
        </is>
      </c>
      <c r="AO12" t="inlineStr">
        <is>
          <t>CameraSettings_Crouch_HipFire</t>
        </is>
      </c>
      <c r="AP12" t="inlineStr">
        <is>
          <t>CameraSettings_Crouch_Aim</t>
        </is>
      </c>
      <c r="AQ12" t="inlineStr">
        <is>
          <t>CameraSettings_Crouch_Ads</t>
        </is>
      </c>
      <c r="AS12" t="inlineStr">
        <is>
          <t>ADS</t>
        </is>
      </c>
    </row>
    <row r="13">
      <c r="A13" t="n">
        <v>230013</v>
      </c>
      <c r="B13" t="inlineStr">
        <is>
          <t>엔젤_서브</t>
        </is>
      </c>
      <c r="C13" t="inlineStr">
        <is>
          <t>HG_스카디</t>
        </is>
      </c>
      <c r="D13" t="inlineStr">
        <is>
          <t>HG</t>
        </is>
      </c>
      <c r="E13" t="inlineStr">
        <is>
          <t>icon_weapontype_hg</t>
        </is>
      </c>
      <c r="F13" t="inlineStr">
        <is>
          <t>Auto</t>
        </is>
      </c>
      <c r="G13" t="inlineStr">
        <is>
          <t>Bullet</t>
        </is>
      </c>
      <c r="H13" t="inlineStr">
        <is>
          <t>Normal</t>
        </is>
      </c>
      <c r="I13" t="inlineStr">
        <is>
          <t>Damage</t>
        </is>
      </c>
      <c r="J13" t="inlineStr">
        <is>
          <t>Bullet</t>
        </is>
      </c>
      <c r="K13" t="inlineStr">
        <is>
          <t>Aim</t>
        </is>
      </c>
      <c r="L13" t="n">
        <v>1</v>
      </c>
      <c r="M13" t="n">
        <v>0</v>
      </c>
      <c r="N13" t="n">
        <v>0</v>
      </c>
      <c r="O13" t="n">
        <v>1</v>
      </c>
      <c r="P13" t="n">
        <v>230013</v>
      </c>
      <c r="Q13" t="n">
        <v>-1</v>
      </c>
      <c r="R13" t="n">
        <v>230013</v>
      </c>
      <c r="S13" t="inlineStr">
        <is>
          <t>WeaponFireSettings_hg_p1911_Default</t>
        </is>
      </c>
      <c r="X13" t="inlineStr">
        <is>
          <t>Enemy</t>
        </is>
      </c>
      <c r="Y13" t="inlineStr">
        <is>
          <t>Enemy</t>
        </is>
      </c>
      <c r="Z13" t="inlineStr">
        <is>
          <t>Cross</t>
        </is>
      </c>
      <c r="AA13" t="inlineStr">
        <is>
          <t>RoundedEdge</t>
        </is>
      </c>
      <c r="AC13" t="n">
        <v>0</v>
      </c>
      <c r="AD13" t="n">
        <v>0</v>
      </c>
      <c r="AE13" t="n">
        <v>0</v>
      </c>
      <c r="AG13" t="inlineStr">
        <is>
          <t>None</t>
        </is>
      </c>
      <c r="AH13" t="inlineStr">
        <is>
          <t>None</t>
        </is>
      </c>
      <c r="AI13" t="n">
        <v>0</v>
      </c>
      <c r="AJ13" t="inlineStr">
        <is>
          <t>CameraSettings_Stand_Default</t>
        </is>
      </c>
      <c r="AK13" t="inlineStr">
        <is>
          <t>CameraSettings_Stand_HipFire</t>
        </is>
      </c>
      <c r="AL13" t="inlineStr">
        <is>
          <t>CameraSettings_Stand_Aim</t>
        </is>
      </c>
      <c r="AM13" t="inlineStr">
        <is>
          <t>CameraSettings_Stand_Ads</t>
        </is>
      </c>
      <c r="AN13" t="inlineStr">
        <is>
          <t>CameraSettings_Crouch_Default</t>
        </is>
      </c>
      <c r="AO13" t="inlineStr">
        <is>
          <t>CameraSettings_Crouch_HipFire</t>
        </is>
      </c>
      <c r="AP13" t="inlineStr">
        <is>
          <t>CameraSettings_Crouch_Aim</t>
        </is>
      </c>
      <c r="AQ13" t="inlineStr">
        <is>
          <t>CameraSettings_Crouch_Ads</t>
        </is>
      </c>
      <c r="AS13" t="inlineStr">
        <is>
          <t>Always</t>
        </is>
      </c>
    </row>
    <row r="14">
      <c r="A14" t="n">
        <v>230014</v>
      </c>
      <c r="B14" t="inlineStr">
        <is>
          <t>엔젤_스킬</t>
        </is>
      </c>
      <c r="C14" t="inlineStr">
        <is>
          <t>Skill_오프라인암기</t>
        </is>
      </c>
      <c r="D14" t="inlineStr">
        <is>
          <t>Special</t>
        </is>
      </c>
      <c r="E14" t="inlineStr">
        <is>
          <t>icon_weapontype_special</t>
        </is>
      </c>
      <c r="F14" t="inlineStr">
        <is>
          <t>Semi</t>
        </is>
      </c>
      <c r="G14" t="inlineStr">
        <is>
          <t>Bullet</t>
        </is>
      </c>
      <c r="H14" t="inlineStr">
        <is>
          <t>SkillWeapon</t>
        </is>
      </c>
      <c r="I14" t="inlineStr">
        <is>
          <t>Damage</t>
        </is>
      </c>
      <c r="J14" t="inlineStr">
        <is>
          <t>Bullet</t>
        </is>
      </c>
      <c r="K14" t="inlineStr">
        <is>
          <t>Aim</t>
        </is>
      </c>
      <c r="L14" t="n">
        <v>1</v>
      </c>
      <c r="M14" t="n">
        <v>0</v>
      </c>
      <c r="N14" t="n">
        <v>0</v>
      </c>
      <c r="O14" t="n">
        <v>1</v>
      </c>
      <c r="P14" t="n">
        <v>230014</v>
      </c>
      <c r="Q14" t="n">
        <v>-1</v>
      </c>
      <c r="R14" t="n">
        <v>230014</v>
      </c>
      <c r="S14" t="inlineStr">
        <is>
          <t>WeaponFireSettings_sw_angel_offline_Default</t>
        </is>
      </c>
      <c r="T14" t="n">
        <v>2300141</v>
      </c>
      <c r="X14" t="inlineStr">
        <is>
          <t>Enemy</t>
        </is>
      </c>
      <c r="Y14" t="inlineStr">
        <is>
          <t>None</t>
        </is>
      </c>
      <c r="Z14" t="inlineStr">
        <is>
          <t>Cross</t>
        </is>
      </c>
      <c r="AA14" t="inlineStr">
        <is>
          <t>RoundedEdge</t>
        </is>
      </c>
      <c r="AC14" t="n">
        <v>0</v>
      </c>
      <c r="AD14" t="n">
        <v>0</v>
      </c>
      <c r="AE14" t="n">
        <v>1</v>
      </c>
      <c r="AG14" t="inlineStr">
        <is>
          <t>None</t>
        </is>
      </c>
      <c r="AH14" t="inlineStr">
        <is>
          <t>None</t>
        </is>
      </c>
      <c r="AI14" t="n">
        <v>0</v>
      </c>
      <c r="AJ14" t="inlineStr">
        <is>
          <t>CameraSettings_Stand_Default</t>
        </is>
      </c>
      <c r="AK14" t="inlineStr">
        <is>
          <t>CameraSettings_Stand_HipFire</t>
        </is>
      </c>
      <c r="AL14" t="inlineStr">
        <is>
          <t>CameraSettings_Stand_Aim</t>
        </is>
      </c>
      <c r="AM14" t="inlineStr">
        <is>
          <t>CameraSettings_Stand_Ads</t>
        </is>
      </c>
      <c r="AN14" t="inlineStr">
        <is>
          <t>CameraSettings_Crouch_Default</t>
        </is>
      </c>
      <c r="AO14" t="inlineStr">
        <is>
          <t>CameraSettings_Crouch_HipFire</t>
        </is>
      </c>
      <c r="AP14" t="inlineStr">
        <is>
          <t>CameraSettings_Crouch_Aim</t>
        </is>
      </c>
      <c r="AQ14" t="inlineStr">
        <is>
          <t>CameraSettings_Crouch_Ads</t>
        </is>
      </c>
    </row>
    <row r="15">
      <c r="A15" t="n">
        <v>230015</v>
      </c>
      <c r="B15" t="inlineStr">
        <is>
          <t>엔젤_궁</t>
        </is>
      </c>
      <c r="C15" t="inlineStr">
        <is>
          <t>Skill_지명수배저격</t>
        </is>
      </c>
      <c r="D15" t="inlineStr">
        <is>
          <t>LockOnCharge</t>
        </is>
      </c>
      <c r="E15" t="inlineStr">
        <is>
          <t>icon_weapontype_special</t>
        </is>
      </c>
      <c r="F15" t="inlineStr">
        <is>
          <t>Semi</t>
        </is>
      </c>
      <c r="G15" t="inlineStr">
        <is>
          <t>Bullet</t>
        </is>
      </c>
      <c r="H15" t="inlineStr">
        <is>
          <t>SkillWeapon</t>
        </is>
      </c>
      <c r="I15" t="inlineStr">
        <is>
          <t>Damage</t>
        </is>
      </c>
      <c r="J15" t="inlineStr">
        <is>
          <t>Bullet</t>
        </is>
      </c>
      <c r="K15" t="inlineStr">
        <is>
          <t>Ads</t>
        </is>
      </c>
      <c r="L15" t="n">
        <v>1</v>
      </c>
      <c r="M15" t="n">
        <v>1</v>
      </c>
      <c r="N15" t="n">
        <v>1</v>
      </c>
      <c r="O15" t="n">
        <v>1</v>
      </c>
      <c r="P15" t="n">
        <v>230015</v>
      </c>
      <c r="Q15" t="n">
        <v>-1</v>
      </c>
      <c r="R15" t="n">
        <v>230015</v>
      </c>
      <c r="S15" t="inlineStr">
        <is>
          <t>WeaponFireSettings_sw_angel_wanted_Default</t>
        </is>
      </c>
      <c r="U15" t="n">
        <v>300130</v>
      </c>
      <c r="X15" t="inlineStr">
        <is>
          <t>Enemy</t>
        </is>
      </c>
      <c r="Y15" t="inlineStr">
        <is>
          <t>Enemy</t>
        </is>
      </c>
      <c r="Z15" t="inlineStr">
        <is>
          <t>Launcher</t>
        </is>
      </c>
      <c r="AA15" t="inlineStr">
        <is>
          <t>None</t>
        </is>
      </c>
      <c r="AB15" t="inlineStr">
        <is>
          <t>crosshair_launcher</t>
        </is>
      </c>
      <c r="AC15" t="n">
        <v>1</v>
      </c>
      <c r="AD15" t="n">
        <v>1</v>
      </c>
      <c r="AE15" t="n">
        <v>1</v>
      </c>
      <c r="AF15" t="inlineStr">
        <is>
          <t>Crouch</t>
        </is>
      </c>
      <c r="AG15" t="inlineStr">
        <is>
          <t>Ads</t>
        </is>
      </c>
      <c r="AH15" t="inlineStr">
        <is>
          <t>OrientRotationToCamera</t>
        </is>
      </c>
      <c r="AI15" t="n">
        <v>1</v>
      </c>
      <c r="AJ15" t="inlineStr">
        <is>
          <t>CameraSettings_Stand_Default</t>
        </is>
      </c>
      <c r="AK15" t="inlineStr">
        <is>
          <t>CameraSettings_Stand_HipFire</t>
        </is>
      </c>
      <c r="AL15" t="inlineStr">
        <is>
          <t>CameraSettings_Stand_Aim</t>
        </is>
      </c>
      <c r="AM15" t="inlineStr">
        <is>
          <t>CameraSettings_Stand_Ads</t>
        </is>
      </c>
      <c r="AN15" t="inlineStr">
        <is>
          <t>CameraSettings_Crouch_Default</t>
        </is>
      </c>
      <c r="AO15" t="inlineStr">
        <is>
          <t>CameraSettings_Crouch_HipFire</t>
        </is>
      </c>
      <c r="AP15" t="inlineStr">
        <is>
          <t>CameraSettings_Crouch_Aim</t>
        </is>
      </c>
      <c r="AQ15" t="inlineStr">
        <is>
          <t>CameraSettings_Crouch_Ads</t>
        </is>
      </c>
    </row>
    <row r="16">
      <c r="A16" t="n">
        <v>230016</v>
      </c>
      <c r="B16" t="inlineStr">
        <is>
          <t>엔젤_스킬</t>
        </is>
      </c>
      <c r="C16" t="inlineStr">
        <is>
          <t>구m67-(임시)</t>
        </is>
      </c>
      <c r="D16" t="inlineStr">
        <is>
          <t>Throwable</t>
        </is>
      </c>
      <c r="E16" t="inlineStr">
        <is>
          <t>icon_weapontype_throwable</t>
        </is>
      </c>
      <c r="F16" t="inlineStr">
        <is>
          <t>Throwable</t>
        </is>
      </c>
      <c r="H16" t="inlineStr">
        <is>
          <t>SkillWeapon</t>
        </is>
      </c>
      <c r="I16" t="inlineStr">
        <is>
          <t>Damage</t>
        </is>
      </c>
      <c r="J16" t="inlineStr">
        <is>
          <t>Splash</t>
        </is>
      </c>
      <c r="K16" t="inlineStr">
        <is>
          <t>Hip</t>
        </is>
      </c>
      <c r="L16" t="n">
        <v>0</v>
      </c>
      <c r="M16" t="n">
        <v>0</v>
      </c>
      <c r="N16" t="n">
        <v>0</v>
      </c>
      <c r="O16" t="n">
        <v>1</v>
      </c>
      <c r="P16" t="n">
        <v>230016</v>
      </c>
      <c r="Q16" t="n">
        <v>-1</v>
      </c>
      <c r="R16" t="n">
        <v>230016</v>
      </c>
      <c r="S16" t="inlineStr">
        <is>
          <t>WeaponFireSettings_gr_m67_Default</t>
        </is>
      </c>
      <c r="T16" t="n">
        <v>2300161</v>
      </c>
      <c r="X16" t="inlineStr">
        <is>
          <t>Enemy</t>
        </is>
      </c>
      <c r="Y16" t="inlineStr">
        <is>
          <t>Enemy</t>
        </is>
      </c>
      <c r="Z16" t="inlineStr">
        <is>
          <t>Cross</t>
        </is>
      </c>
      <c r="AA16" t="inlineStr">
        <is>
          <t>RoundedEdge</t>
        </is>
      </c>
      <c r="AC16" t="n">
        <v>0</v>
      </c>
      <c r="AD16" t="n">
        <v>0</v>
      </c>
      <c r="AE16" t="n">
        <v>0</v>
      </c>
      <c r="AG16" t="inlineStr">
        <is>
          <t>None</t>
        </is>
      </c>
      <c r="AH16" t="inlineStr">
        <is>
          <t>None</t>
        </is>
      </c>
      <c r="AI16" t="n">
        <v>0</v>
      </c>
      <c r="AJ16" t="inlineStr">
        <is>
          <t>CameraSettings_Stand_Default</t>
        </is>
      </c>
      <c r="AK16" t="inlineStr">
        <is>
          <t>CameraSettings_Stand_HipFire_Throw</t>
        </is>
      </c>
      <c r="AL16" t="inlineStr">
        <is>
          <t>CameraSettings_Stand_Aim_Throw</t>
        </is>
      </c>
      <c r="AM16" t="inlineStr">
        <is>
          <t>CameraSettings_Stand_Ads_Throw</t>
        </is>
      </c>
      <c r="AN16" t="inlineStr">
        <is>
          <t>CameraSettings_Crouch_Default</t>
        </is>
      </c>
      <c r="AO16" t="inlineStr">
        <is>
          <t>CameraSettings_Crouch_HipFire_Throw</t>
        </is>
      </c>
      <c r="AP16" t="inlineStr">
        <is>
          <t>CameraSettings_Crouch_Aim_Throw</t>
        </is>
      </c>
      <c r="AQ16" t="inlineStr">
        <is>
          <t>CameraSettings_Crouch_Ads_Throw</t>
        </is>
      </c>
      <c r="AS16" t="inlineStr">
        <is>
          <t>Always</t>
        </is>
      </c>
    </row>
    <row r="17">
      <c r="A17" t="n">
        <v>240011</v>
      </c>
      <c r="B17" t="inlineStr">
        <is>
          <t>시냅스_메인1</t>
        </is>
      </c>
      <c r="C17" t="inlineStr">
        <is>
          <t>AR_케스트럴</t>
        </is>
      </c>
      <c r="D17" t="inlineStr">
        <is>
          <t>AR</t>
        </is>
      </c>
      <c r="E17" t="inlineStr">
        <is>
          <t>icon_weapontype_ar</t>
        </is>
      </c>
      <c r="F17" t="inlineStr">
        <is>
          <t>Auto</t>
        </is>
      </c>
      <c r="G17" t="inlineStr">
        <is>
          <t>Bullet</t>
        </is>
      </c>
      <c r="H17" t="inlineStr">
        <is>
          <t>Normal</t>
        </is>
      </c>
      <c r="I17" t="inlineStr">
        <is>
          <t>Damage</t>
        </is>
      </c>
      <c r="J17" t="inlineStr">
        <is>
          <t>Bullet</t>
        </is>
      </c>
      <c r="K17" t="inlineStr">
        <is>
          <t>Aim</t>
        </is>
      </c>
      <c r="L17" t="n">
        <v>1</v>
      </c>
      <c r="M17" t="n">
        <v>0</v>
      </c>
      <c r="N17" t="n">
        <v>0</v>
      </c>
      <c r="O17" t="n">
        <v>1</v>
      </c>
      <c r="P17" t="n">
        <v>240011</v>
      </c>
      <c r="Q17" t="n">
        <v>-1</v>
      </c>
      <c r="R17" t="n">
        <v>240011</v>
      </c>
      <c r="S17" t="inlineStr">
        <is>
          <t>WeaponFireSettings_ar_m16a4_Default</t>
        </is>
      </c>
      <c r="X17" t="inlineStr">
        <is>
          <t>Enemy</t>
        </is>
      </c>
      <c r="Y17" t="inlineStr">
        <is>
          <t>Enemy</t>
        </is>
      </c>
      <c r="Z17" t="inlineStr">
        <is>
          <t>Cross</t>
        </is>
      </c>
      <c r="AA17" t="inlineStr">
        <is>
          <t>RoundedEdge</t>
        </is>
      </c>
      <c r="AC17" t="n">
        <v>0</v>
      </c>
      <c r="AD17" t="n">
        <v>0</v>
      </c>
      <c r="AE17" t="n">
        <v>0</v>
      </c>
      <c r="AG17" t="inlineStr">
        <is>
          <t>None</t>
        </is>
      </c>
      <c r="AH17" t="inlineStr">
        <is>
          <t>None</t>
        </is>
      </c>
      <c r="AI17" t="n">
        <v>0</v>
      </c>
      <c r="AJ17" t="inlineStr">
        <is>
          <t>CameraSettings_Stand_Default</t>
        </is>
      </c>
      <c r="AK17" t="inlineStr">
        <is>
          <t>CameraSettings_Stand_HipFire</t>
        </is>
      </c>
      <c r="AL17" t="inlineStr">
        <is>
          <t>CameraSettings_Stand_Aim</t>
        </is>
      </c>
      <c r="AM17" t="inlineStr">
        <is>
          <t>CameraSettings_Stand_Ads</t>
        </is>
      </c>
      <c r="AN17" t="inlineStr">
        <is>
          <t>CameraSettings_Crouch_Default</t>
        </is>
      </c>
      <c r="AO17" t="inlineStr">
        <is>
          <t>CameraSettings_Crouch_HipFire</t>
        </is>
      </c>
      <c r="AP17" t="inlineStr">
        <is>
          <t>CameraSettings_Crouch_Aim</t>
        </is>
      </c>
      <c r="AQ17" t="inlineStr">
        <is>
          <t>CameraSettings_Crouch_Ads</t>
        </is>
      </c>
      <c r="AS17" t="inlineStr">
        <is>
          <t>Always</t>
        </is>
      </c>
    </row>
    <row r="18">
      <c r="A18" t="n">
        <v>240012</v>
      </c>
      <c r="B18" t="inlineStr">
        <is>
          <t>시냅스_메인2</t>
        </is>
      </c>
      <c r="C18" t="inlineStr">
        <is>
          <t>DMR_멀릿</t>
        </is>
      </c>
      <c r="D18" t="inlineStr">
        <is>
          <t>PreCharge</t>
        </is>
      </c>
      <c r="E18" t="inlineStr">
        <is>
          <t>icon_weapontype_dmr</t>
        </is>
      </c>
      <c r="F18" t="inlineStr">
        <is>
          <t>Auto</t>
        </is>
      </c>
      <c r="G18" t="inlineStr">
        <is>
          <t>Bullet</t>
        </is>
      </c>
      <c r="H18" t="inlineStr">
        <is>
          <t>Normal</t>
        </is>
      </c>
      <c r="I18" t="inlineStr">
        <is>
          <t>Damage</t>
        </is>
      </c>
      <c r="J18" t="inlineStr">
        <is>
          <t>Bullet</t>
        </is>
      </c>
      <c r="K18" t="inlineStr">
        <is>
          <t>Ads</t>
        </is>
      </c>
      <c r="L18" t="n">
        <v>1</v>
      </c>
      <c r="M18" t="n">
        <v>0</v>
      </c>
      <c r="N18" t="n">
        <v>0</v>
      </c>
      <c r="O18" t="n">
        <v>1</v>
      </c>
      <c r="P18" t="n">
        <v>240012</v>
      </c>
      <c r="Q18" t="n">
        <v>-1</v>
      </c>
      <c r="R18" t="n">
        <v>240012</v>
      </c>
      <c r="S18" t="inlineStr">
        <is>
          <t>WeaponFireSettings_dmr_slr_Default</t>
        </is>
      </c>
      <c r="X18" t="inlineStr">
        <is>
          <t>Enemy</t>
        </is>
      </c>
      <c r="Y18" t="inlineStr">
        <is>
          <t>Enemy</t>
        </is>
      </c>
      <c r="Z18" t="inlineStr">
        <is>
          <t>Cross</t>
        </is>
      </c>
      <c r="AA18" t="inlineStr">
        <is>
          <t>RoundedEdge</t>
        </is>
      </c>
      <c r="AC18" t="n">
        <v>0</v>
      </c>
      <c r="AD18" t="n">
        <v>0</v>
      </c>
      <c r="AE18" t="n">
        <v>0</v>
      </c>
      <c r="AG18" t="inlineStr">
        <is>
          <t>None</t>
        </is>
      </c>
      <c r="AH18" t="inlineStr">
        <is>
          <t>None</t>
        </is>
      </c>
      <c r="AI18" t="n">
        <v>0</v>
      </c>
      <c r="AJ18" t="inlineStr">
        <is>
          <t>CameraSettings_Stand_Default</t>
        </is>
      </c>
      <c r="AK18" t="inlineStr">
        <is>
          <t>CameraSettings_Stand_HipFire</t>
        </is>
      </c>
      <c r="AL18" t="inlineStr">
        <is>
          <t>CameraSettings_Stand_Aim</t>
        </is>
      </c>
      <c r="AM18" t="inlineStr">
        <is>
          <t>CameraSettings_Stand_Ads</t>
        </is>
      </c>
      <c r="AN18" t="inlineStr">
        <is>
          <t>CameraSettings_Crouch_Default</t>
        </is>
      </c>
      <c r="AO18" t="inlineStr">
        <is>
          <t>CameraSettings_Crouch_HipFire</t>
        </is>
      </c>
      <c r="AP18" t="inlineStr">
        <is>
          <t>CameraSettings_Crouch_Aim</t>
        </is>
      </c>
      <c r="AQ18" t="inlineStr">
        <is>
          <t>CameraSettings_Crouch_Ads</t>
        </is>
      </c>
      <c r="AS18" t="inlineStr">
        <is>
          <t>Always</t>
        </is>
      </c>
    </row>
    <row r="19" ht="17.25" customHeight="1">
      <c r="A19" t="n">
        <v>240013</v>
      </c>
      <c r="B19" t="inlineStr">
        <is>
          <t>시냅스_서브</t>
        </is>
      </c>
      <c r="C19" t="inlineStr">
        <is>
          <t>HG_주노</t>
        </is>
      </c>
      <c r="D19" t="inlineStr">
        <is>
          <t>Special</t>
        </is>
      </c>
      <c r="E19" t="inlineStr">
        <is>
          <t>icon_weapontype_special</t>
        </is>
      </c>
      <c r="F19" t="inlineStr">
        <is>
          <t>Semi</t>
        </is>
      </c>
      <c r="H19" t="inlineStr">
        <is>
          <t>Normal</t>
        </is>
      </c>
      <c r="I19" t="inlineStr">
        <is>
          <t>Heal</t>
        </is>
      </c>
      <c r="K19" t="inlineStr">
        <is>
          <t>Aim</t>
        </is>
      </c>
      <c r="L19" t="n">
        <v>0</v>
      </c>
      <c r="M19" t="n">
        <v>1</v>
      </c>
      <c r="N19" t="n">
        <v>0</v>
      </c>
      <c r="O19" t="n">
        <v>1</v>
      </c>
      <c r="P19" t="n">
        <v>240013</v>
      </c>
      <c r="Q19" t="n">
        <v>-1</v>
      </c>
      <c r="R19" t="n">
        <v>240013</v>
      </c>
      <c r="S19" t="inlineStr">
        <is>
          <t>WeaponFireSettings_hg_healing_pistol_Default</t>
        </is>
      </c>
      <c r="X19" t="inlineStr">
        <is>
          <t>Ally</t>
        </is>
      </c>
      <c r="Y19" t="inlineStr">
        <is>
          <t>Ally</t>
        </is>
      </c>
      <c r="Z19" t="inlineStr">
        <is>
          <t>Cross</t>
        </is>
      </c>
      <c r="AA19" t="inlineStr">
        <is>
          <t>RoundedEdge</t>
        </is>
      </c>
      <c r="AC19" t="n">
        <v>0</v>
      </c>
      <c r="AD19" t="n">
        <v>0</v>
      </c>
      <c r="AE19" t="n">
        <v>0</v>
      </c>
      <c r="AG19" t="inlineStr">
        <is>
          <t>None</t>
        </is>
      </c>
      <c r="AH19" t="inlineStr">
        <is>
          <t>None</t>
        </is>
      </c>
      <c r="AI19" t="n">
        <v>0</v>
      </c>
      <c r="AJ19" t="inlineStr">
        <is>
          <t>CameraSettings_Stand_Default</t>
        </is>
      </c>
      <c r="AK19" t="inlineStr">
        <is>
          <t>CameraSettings_Stand_HipFire</t>
        </is>
      </c>
      <c r="AL19" t="inlineStr">
        <is>
          <t>CameraSettings_Stand_Aim</t>
        </is>
      </c>
      <c r="AM19" t="inlineStr">
        <is>
          <t>CameraSettings_Stand_Ads</t>
        </is>
      </c>
      <c r="AN19" t="inlineStr">
        <is>
          <t>CameraSettings_Crouch_Default</t>
        </is>
      </c>
      <c r="AO19" t="inlineStr">
        <is>
          <t>CameraSettings_Crouch_HipFire</t>
        </is>
      </c>
      <c r="AP19" t="inlineStr">
        <is>
          <t>CameraSettings_Crouch_Aim</t>
        </is>
      </c>
      <c r="AQ19" t="inlineStr">
        <is>
          <t>CameraSettings_Crouch_Ads</t>
        </is>
      </c>
      <c r="AS19" t="inlineStr">
        <is>
          <t>Always</t>
        </is>
      </c>
    </row>
    <row r="20">
      <c r="A20" t="n">
        <v>240014</v>
      </c>
      <c r="B20" t="inlineStr">
        <is>
          <t>시냅스_스킬</t>
        </is>
      </c>
      <c r="C20" t="inlineStr">
        <is>
          <t>Skill_방해전파장치</t>
        </is>
      </c>
      <c r="D20" t="inlineStr">
        <is>
          <t>Special</t>
        </is>
      </c>
      <c r="E20" t="inlineStr">
        <is>
          <t>icon_weapontype_throwable</t>
        </is>
      </c>
      <c r="F20" t="inlineStr">
        <is>
          <t>Semi</t>
        </is>
      </c>
      <c r="H20" t="inlineStr">
        <is>
          <t>SkillWeapon</t>
        </is>
      </c>
      <c r="J20" t="inlineStr">
        <is>
          <t>Splash</t>
        </is>
      </c>
      <c r="K20" t="inlineStr">
        <is>
          <t>Hip</t>
        </is>
      </c>
      <c r="L20" t="n">
        <v>1</v>
      </c>
      <c r="M20" t="n">
        <v>0</v>
      </c>
      <c r="N20" t="n">
        <v>0</v>
      </c>
      <c r="O20" t="n">
        <v>1</v>
      </c>
      <c r="P20" t="n">
        <v>240014</v>
      </c>
      <c r="Q20" t="n">
        <v>-1</v>
      </c>
      <c r="R20" t="n">
        <v>240014</v>
      </c>
      <c r="S20" t="inlineStr">
        <is>
          <t>WeaponFireSettings_sw_synapse_jammer</t>
        </is>
      </c>
      <c r="T20" t="n">
        <v>2400141</v>
      </c>
      <c r="V20" t="n">
        <v>4001102</v>
      </c>
      <c r="W20" t="n">
        <v>4001103</v>
      </c>
      <c r="X20" t="inlineStr">
        <is>
          <t>None</t>
        </is>
      </c>
      <c r="Y20" t="inlineStr">
        <is>
          <t>None</t>
        </is>
      </c>
      <c r="Z20" t="inlineStr">
        <is>
          <t>Cross</t>
        </is>
      </c>
      <c r="AA20" t="inlineStr">
        <is>
          <t>None</t>
        </is>
      </c>
      <c r="AC20" t="n">
        <v>0</v>
      </c>
      <c r="AD20" t="n">
        <v>0</v>
      </c>
      <c r="AE20" t="n">
        <v>1</v>
      </c>
      <c r="AG20" t="inlineStr">
        <is>
          <t>None</t>
        </is>
      </c>
      <c r="AH20" t="inlineStr">
        <is>
          <t>None</t>
        </is>
      </c>
      <c r="AI20" t="n">
        <v>0</v>
      </c>
      <c r="AJ20" t="inlineStr">
        <is>
          <t>CameraSettings_Stand_Default</t>
        </is>
      </c>
      <c r="AK20" t="inlineStr">
        <is>
          <t>CameraSettings_Stand_HipFire</t>
        </is>
      </c>
      <c r="AL20" t="inlineStr">
        <is>
          <t>CameraSettings_Stand_Aim</t>
        </is>
      </c>
      <c r="AM20" t="inlineStr">
        <is>
          <t>CameraSettings_Stand_Ads</t>
        </is>
      </c>
      <c r="AN20" t="inlineStr">
        <is>
          <t>CameraSettings_Crouch_Default</t>
        </is>
      </c>
      <c r="AO20" t="inlineStr">
        <is>
          <t>CameraSettings_Crouch_HipFire</t>
        </is>
      </c>
      <c r="AP20" t="inlineStr">
        <is>
          <t>CameraSettings_Crouch_Aim</t>
        </is>
      </c>
      <c r="AQ20" t="inlineStr">
        <is>
          <t>CameraSettings_Crouch_Ads</t>
        </is>
      </c>
    </row>
    <row r="21">
      <c r="A21" t="n">
        <v>240015</v>
      </c>
      <c r="B21" t="inlineStr">
        <is>
          <t>시냅스_궁</t>
        </is>
      </c>
      <c r="C21" t="inlineStr">
        <is>
          <t>Skill_바이러스노드</t>
        </is>
      </c>
      <c r="D21" t="inlineStr">
        <is>
          <t>Special</t>
        </is>
      </c>
      <c r="E21" t="inlineStr">
        <is>
          <t>icon_weapontype_throwable</t>
        </is>
      </c>
      <c r="F21" t="inlineStr">
        <is>
          <t>Semi</t>
        </is>
      </c>
      <c r="H21" t="inlineStr">
        <is>
          <t>SkillWeapon</t>
        </is>
      </c>
      <c r="J21" t="inlineStr">
        <is>
          <t>Splash</t>
        </is>
      </c>
      <c r="K21" t="inlineStr">
        <is>
          <t>Hip</t>
        </is>
      </c>
      <c r="L21" t="n">
        <v>1</v>
      </c>
      <c r="M21" t="n">
        <v>0</v>
      </c>
      <c r="N21" t="n">
        <v>0</v>
      </c>
      <c r="O21" t="n">
        <v>1</v>
      </c>
      <c r="P21" t="n">
        <v>240015</v>
      </c>
      <c r="Q21" t="n">
        <v>-1</v>
      </c>
      <c r="R21" t="n">
        <v>240015</v>
      </c>
      <c r="S21" t="inlineStr">
        <is>
          <t>WeaponFireSettings_sw_synapse_virusnode</t>
        </is>
      </c>
      <c r="T21" t="n">
        <v>2400151</v>
      </c>
      <c r="X21" t="inlineStr">
        <is>
          <t>None</t>
        </is>
      </c>
      <c r="Y21" t="inlineStr">
        <is>
          <t>None</t>
        </is>
      </c>
      <c r="Z21" t="inlineStr">
        <is>
          <t>Launcher</t>
        </is>
      </c>
      <c r="AA21" t="inlineStr">
        <is>
          <t>None</t>
        </is>
      </c>
      <c r="AB21" t="inlineStr">
        <is>
          <t>crosshair_launcher</t>
        </is>
      </c>
      <c r="AC21" t="n">
        <v>0</v>
      </c>
      <c r="AD21" t="n">
        <v>0</v>
      </c>
      <c r="AE21" t="n">
        <v>1</v>
      </c>
      <c r="AG21" t="inlineStr">
        <is>
          <t>None</t>
        </is>
      </c>
      <c r="AH21" t="inlineStr">
        <is>
          <t>None</t>
        </is>
      </c>
      <c r="AI21" t="n">
        <v>0</v>
      </c>
      <c r="AJ21" t="inlineStr">
        <is>
          <t>CameraSettings_Stand_Default</t>
        </is>
      </c>
      <c r="AK21" t="inlineStr">
        <is>
          <t>CameraSettings_Stand_HipFire</t>
        </is>
      </c>
      <c r="AL21" t="inlineStr">
        <is>
          <t>CameraSettings_Stand_Aim</t>
        </is>
      </c>
      <c r="AM21" t="inlineStr">
        <is>
          <t>CameraSettings_Stand_Ads</t>
        </is>
      </c>
      <c r="AN21" t="inlineStr">
        <is>
          <t>CameraSettings_Crouch_Default</t>
        </is>
      </c>
      <c r="AO21" t="inlineStr">
        <is>
          <t>CameraSettings_Crouch_HipFire</t>
        </is>
      </c>
      <c r="AP21" t="inlineStr">
        <is>
          <t>CameraSettings_Crouch_Aim</t>
        </is>
      </c>
      <c r="AQ21" t="inlineStr">
        <is>
          <t>CameraSettings_Crouch_Ads</t>
        </is>
      </c>
    </row>
    <row r="22" customFormat="1" s="27">
      <c r="A22" s="29" t="n">
        <v>240016</v>
      </c>
      <c r="B22" s="29" t="inlineStr">
        <is>
          <t>시냅스_스킬</t>
        </is>
      </c>
      <c r="C22" s="29" t="inlineStr">
        <is>
          <t>큐브설치-(임시)</t>
        </is>
      </c>
      <c r="D22" s="29" t="inlineStr">
        <is>
          <t>Throwable</t>
        </is>
      </c>
      <c r="E22" s="29" t="inlineStr">
        <is>
          <t>icon_weapontype_throwable</t>
        </is>
      </c>
      <c r="F22" s="29" t="inlineStr">
        <is>
          <t>Throwable</t>
        </is>
      </c>
      <c r="G22" s="29" t="n"/>
      <c r="H22" s="29" t="inlineStr">
        <is>
          <t>SkillWeapon</t>
        </is>
      </c>
      <c r="I22" s="29" t="inlineStr">
        <is>
          <t>Damage</t>
        </is>
      </c>
      <c r="J22" s="29" t="n"/>
      <c r="K22" s="29" t="inlineStr">
        <is>
          <t>Ads</t>
        </is>
      </c>
      <c r="L22" s="29" t="n">
        <v>0</v>
      </c>
      <c r="M22" s="29" t="n">
        <v>0</v>
      </c>
      <c r="N22" s="29" t="n">
        <v>0</v>
      </c>
      <c r="O22" s="29" t="n">
        <v>1</v>
      </c>
      <c r="P22" s="29" t="n">
        <v>240016</v>
      </c>
      <c r="Q22" s="29" t="n">
        <v>-1</v>
      </c>
      <c r="R22" s="29" t="n">
        <v>240016</v>
      </c>
      <c r="S22" s="29" t="inlineStr">
        <is>
          <t>WeaponFireSettings_sw_protect_cub</t>
        </is>
      </c>
      <c r="T22" s="29" t="n">
        <v>410111</v>
      </c>
      <c r="U22" s="29" t="n"/>
      <c r="V22" s="29" t="n">
        <v>4001103</v>
      </c>
      <c r="W22" s="29" t="n"/>
      <c r="X22" s="29" t="inlineStr">
        <is>
          <t>Enemy</t>
        </is>
      </c>
      <c r="Y22" s="29" t="inlineStr">
        <is>
          <t>Enemy</t>
        </is>
      </c>
      <c r="Z22" s="29" t="inlineStr">
        <is>
          <t>Cross</t>
        </is>
      </c>
      <c r="AA22" s="29" t="inlineStr">
        <is>
          <t>None</t>
        </is>
      </c>
      <c r="AB22" s="29" t="n"/>
      <c r="AC22" s="29" t="n">
        <v>0</v>
      </c>
      <c r="AD22" s="29" t="n">
        <v>0</v>
      </c>
      <c r="AE22" s="29" t="n">
        <v>1</v>
      </c>
      <c r="AF22" s="29" t="n"/>
      <c r="AG22" s="29" t="inlineStr">
        <is>
          <t>None</t>
        </is>
      </c>
      <c r="AH22" s="29" t="inlineStr">
        <is>
          <t>None</t>
        </is>
      </c>
      <c r="AI22" s="29" t="n">
        <v>0</v>
      </c>
      <c r="AJ22" s="29" t="inlineStr">
        <is>
          <t>CameraSettings_Stand_Default</t>
        </is>
      </c>
      <c r="AK22" s="29" t="inlineStr">
        <is>
          <t>CameraSettings_Stand_HipFire_Throw</t>
        </is>
      </c>
      <c r="AL22" s="29" t="inlineStr">
        <is>
          <t>CameraSettings_Stand_Aim_Throw</t>
        </is>
      </c>
      <c r="AM22" s="29" t="inlineStr">
        <is>
          <t>CameraSettings_Stand_Ads_Throw</t>
        </is>
      </c>
      <c r="AN22" s="29" t="inlineStr">
        <is>
          <t>CameraSettings_Crouch_Default</t>
        </is>
      </c>
      <c r="AO22" s="29" t="inlineStr">
        <is>
          <t>CameraSettings_Crouch_HipFire_Throw</t>
        </is>
      </c>
      <c r="AP22" s="29" t="inlineStr">
        <is>
          <t>CameraSettings_Crouch_Aim_Throw</t>
        </is>
      </c>
      <c r="AQ22" s="29" t="inlineStr">
        <is>
          <t>CameraSettings_Crouch_Ads_Throw</t>
        </is>
      </c>
      <c r="AR22" s="29" t="n"/>
      <c r="AS22" s="29" t="n"/>
      <c r="AT22" s="29" t="n"/>
      <c r="AU22" s="29" t="n"/>
    </row>
    <row r="23" customFormat="1" s="27">
      <c r="A23" t="n">
        <v>210021</v>
      </c>
      <c r="B23" t="inlineStr">
        <is>
          <t>프리드웬_메인1</t>
        </is>
      </c>
      <c r="C23" t="inlineStr">
        <is>
          <t>S1897-토르</t>
        </is>
      </c>
      <c r="D23" t="inlineStr">
        <is>
          <t>SG</t>
        </is>
      </c>
      <c r="E23" t="inlineStr">
        <is>
          <t>icon_weapontype_sg</t>
        </is>
      </c>
      <c r="F23" t="inlineStr">
        <is>
          <t>Auto</t>
        </is>
      </c>
      <c r="G23" t="inlineStr">
        <is>
          <t>Bullet</t>
        </is>
      </c>
      <c r="H23" t="inlineStr">
        <is>
          <t>Normal</t>
        </is>
      </c>
      <c r="I23" t="inlineStr">
        <is>
          <t>Damage</t>
        </is>
      </c>
      <c r="J23" t="inlineStr">
        <is>
          <t>Bullet</t>
        </is>
      </c>
      <c r="K23" t="inlineStr">
        <is>
          <t>Aim</t>
        </is>
      </c>
      <c r="L23" t="n">
        <v>1</v>
      </c>
      <c r="M23" t="n">
        <v>0</v>
      </c>
      <c r="N23" t="n">
        <v>0</v>
      </c>
      <c r="O23" t="n">
        <v>1</v>
      </c>
      <c r="P23" t="n">
        <v>210011</v>
      </c>
      <c r="Q23" t="n">
        <v>-1</v>
      </c>
      <c r="R23" t="n">
        <v>210021</v>
      </c>
      <c r="S23" t="inlineStr">
        <is>
          <t>WeaponFireSettings_sg_s1897_Default</t>
        </is>
      </c>
      <c r="X23" t="inlineStr">
        <is>
          <t>Enemy</t>
        </is>
      </c>
      <c r="Y23" t="inlineStr">
        <is>
          <t>Enemy</t>
        </is>
      </c>
      <c r="Z23" t="inlineStr">
        <is>
          <t>Cross</t>
        </is>
      </c>
      <c r="AA23" t="inlineStr">
        <is>
          <t>RoundedEdge</t>
        </is>
      </c>
      <c r="AC23" t="n">
        <v>0</v>
      </c>
      <c r="AD23" t="n">
        <v>0</v>
      </c>
      <c r="AE23" t="n">
        <v>0</v>
      </c>
      <c r="AG23" t="inlineStr">
        <is>
          <t>None</t>
        </is>
      </c>
      <c r="AH23" t="inlineStr">
        <is>
          <t>None</t>
        </is>
      </c>
      <c r="AI23" t="n">
        <v>0</v>
      </c>
      <c r="AJ23" t="inlineStr">
        <is>
          <t>CameraSettings_Stand_Default</t>
        </is>
      </c>
      <c r="AK23" t="inlineStr">
        <is>
          <t>CameraSettings_Stand_HipFire</t>
        </is>
      </c>
      <c r="AL23" t="inlineStr">
        <is>
          <t>CameraSettings_Stand_Aim</t>
        </is>
      </c>
      <c r="AM23" t="inlineStr">
        <is>
          <t>CameraSettings_Stand_Ads</t>
        </is>
      </c>
      <c r="AN23" t="inlineStr">
        <is>
          <t>CameraSettings_Crouch_Default</t>
        </is>
      </c>
      <c r="AO23" t="inlineStr">
        <is>
          <t>CameraSettings_Crouch_HipFire</t>
        </is>
      </c>
      <c r="AP23" t="inlineStr">
        <is>
          <t>CameraSettings_Crouch_Aim</t>
        </is>
      </c>
      <c r="AQ23" t="inlineStr">
        <is>
          <t>CameraSettings_Crouch_Ads</t>
        </is>
      </c>
      <c r="AS23" t="inlineStr">
        <is>
          <t>Always</t>
        </is>
      </c>
    </row>
    <row r="24" customFormat="1" s="24">
      <c r="A24" t="n">
        <v>210022</v>
      </c>
      <c r="B24" t="inlineStr">
        <is>
          <t>프리드웬_메인2</t>
        </is>
      </c>
      <c r="C24" t="inlineStr">
        <is>
          <t>UMP-벨리알</t>
        </is>
      </c>
      <c r="D24" t="inlineStr">
        <is>
          <t>SMG</t>
        </is>
      </c>
      <c r="E24" t="inlineStr">
        <is>
          <t>icon_weapontype_smg</t>
        </is>
      </c>
      <c r="F24" t="inlineStr">
        <is>
          <t>Auto</t>
        </is>
      </c>
      <c r="G24" t="inlineStr">
        <is>
          <t>Bullet</t>
        </is>
      </c>
      <c r="H24" t="inlineStr">
        <is>
          <t>Normal</t>
        </is>
      </c>
      <c r="I24" t="inlineStr">
        <is>
          <t>Damage</t>
        </is>
      </c>
      <c r="J24" t="inlineStr">
        <is>
          <t>Bullet</t>
        </is>
      </c>
      <c r="K24" t="inlineStr">
        <is>
          <t>Aim</t>
        </is>
      </c>
      <c r="L24" t="n">
        <v>1</v>
      </c>
      <c r="M24" t="n">
        <v>0</v>
      </c>
      <c r="N24" t="n">
        <v>0</v>
      </c>
      <c r="O24" t="n">
        <v>1</v>
      </c>
      <c r="P24" t="n">
        <v>210012</v>
      </c>
      <c r="Q24" t="n">
        <v>-1</v>
      </c>
      <c r="R24" t="n">
        <v>210022</v>
      </c>
      <c r="S24" t="inlineStr">
        <is>
          <t>WeaponFireSettings_smg_ump_Default</t>
        </is>
      </c>
      <c r="X24" t="inlineStr">
        <is>
          <t>Enemy</t>
        </is>
      </c>
      <c r="Y24" t="inlineStr">
        <is>
          <t>Enemy</t>
        </is>
      </c>
      <c r="Z24" t="inlineStr">
        <is>
          <t>Cross</t>
        </is>
      </c>
      <c r="AA24" t="inlineStr">
        <is>
          <t>RoundedEdge</t>
        </is>
      </c>
      <c r="AC24" t="n">
        <v>0</v>
      </c>
      <c r="AD24" t="n">
        <v>0</v>
      </c>
      <c r="AE24" t="n">
        <v>0</v>
      </c>
      <c r="AG24" t="inlineStr">
        <is>
          <t>None</t>
        </is>
      </c>
      <c r="AH24" t="inlineStr">
        <is>
          <t>None</t>
        </is>
      </c>
      <c r="AI24" t="n">
        <v>0</v>
      </c>
      <c r="AJ24" t="inlineStr">
        <is>
          <t>CameraSettings_Stand_Default</t>
        </is>
      </c>
      <c r="AK24" t="inlineStr">
        <is>
          <t>CameraSettings_Stand_HipFire</t>
        </is>
      </c>
      <c r="AL24" t="inlineStr">
        <is>
          <t>CameraSettings_Stand_Aim</t>
        </is>
      </c>
      <c r="AM24" t="inlineStr">
        <is>
          <t>CameraSettings_Stand_Ads</t>
        </is>
      </c>
      <c r="AN24" t="inlineStr">
        <is>
          <t>CameraSettings_Crouch_Default</t>
        </is>
      </c>
      <c r="AO24" t="inlineStr">
        <is>
          <t>CameraSettings_Crouch_HipFire</t>
        </is>
      </c>
      <c r="AP24" t="inlineStr">
        <is>
          <t>CameraSettings_Crouch_Aim</t>
        </is>
      </c>
      <c r="AQ24" t="inlineStr">
        <is>
          <t>CameraSettings_Crouch_Ads</t>
        </is>
      </c>
      <c r="AS24" t="inlineStr">
        <is>
          <t>Always</t>
        </is>
      </c>
    </row>
    <row r="25" customFormat="1" s="24">
      <c r="A25" t="n">
        <v>210023</v>
      </c>
      <c r="B25" t="inlineStr">
        <is>
          <t>프리드웬_서브</t>
        </is>
      </c>
      <c r="C25" t="inlineStr">
        <is>
          <t>P92-니케</t>
        </is>
      </c>
      <c r="D25" t="inlineStr">
        <is>
          <t>HG</t>
        </is>
      </c>
      <c r="E25" t="inlineStr">
        <is>
          <t>icon_weapontype_hg</t>
        </is>
      </c>
      <c r="F25" t="inlineStr">
        <is>
          <t>Auto</t>
        </is>
      </c>
      <c r="G25" t="inlineStr">
        <is>
          <t>Bullet</t>
        </is>
      </c>
      <c r="H25" t="inlineStr">
        <is>
          <t>Normal</t>
        </is>
      </c>
      <c r="I25" t="inlineStr">
        <is>
          <t>Damage</t>
        </is>
      </c>
      <c r="J25" t="inlineStr">
        <is>
          <t>Bullet</t>
        </is>
      </c>
      <c r="K25" t="inlineStr">
        <is>
          <t>Aim</t>
        </is>
      </c>
      <c r="L25" t="n">
        <v>1</v>
      </c>
      <c r="M25" t="n">
        <v>0</v>
      </c>
      <c r="N25" t="n">
        <v>0</v>
      </c>
      <c r="O25" t="n">
        <v>1</v>
      </c>
      <c r="P25" t="n">
        <v>210013</v>
      </c>
      <c r="Q25" t="n">
        <v>-1</v>
      </c>
      <c r="R25" t="n">
        <v>210023</v>
      </c>
      <c r="S25" t="inlineStr">
        <is>
          <t>WeaponFireSettings_hg_p92_Default</t>
        </is>
      </c>
      <c r="X25" t="inlineStr">
        <is>
          <t>Enemy</t>
        </is>
      </c>
      <c r="Y25" t="inlineStr">
        <is>
          <t>Enemy</t>
        </is>
      </c>
      <c r="Z25" t="inlineStr">
        <is>
          <t>Cross</t>
        </is>
      </c>
      <c r="AA25" t="inlineStr">
        <is>
          <t>RoundedEdge</t>
        </is>
      </c>
      <c r="AC25" t="n">
        <v>0</v>
      </c>
      <c r="AD25" t="n">
        <v>0</v>
      </c>
      <c r="AE25" t="n">
        <v>0</v>
      </c>
      <c r="AG25" t="inlineStr">
        <is>
          <t>None</t>
        </is>
      </c>
      <c r="AH25" t="inlineStr">
        <is>
          <t>None</t>
        </is>
      </c>
      <c r="AI25" t="n">
        <v>0</v>
      </c>
      <c r="AJ25" t="inlineStr">
        <is>
          <t>CameraSettings_Stand_Default</t>
        </is>
      </c>
      <c r="AK25" t="inlineStr">
        <is>
          <t>CameraSettings_Stand_HipFire</t>
        </is>
      </c>
      <c r="AL25" t="inlineStr">
        <is>
          <t>CameraSettings_Stand_Aim</t>
        </is>
      </c>
      <c r="AM25" t="inlineStr">
        <is>
          <t>CameraSettings_Stand_Ads</t>
        </is>
      </c>
      <c r="AN25" t="inlineStr">
        <is>
          <t>CameraSettings_Crouch_Default</t>
        </is>
      </c>
      <c r="AO25" t="inlineStr">
        <is>
          <t>CameraSettings_Crouch_HipFire</t>
        </is>
      </c>
      <c r="AP25" t="inlineStr">
        <is>
          <t>CameraSettings_Crouch_Aim</t>
        </is>
      </c>
      <c r="AQ25" t="inlineStr">
        <is>
          <t>CameraSettings_Crouch_Ads</t>
        </is>
      </c>
      <c r="AS25" t="inlineStr">
        <is>
          <t>Always</t>
        </is>
      </c>
    </row>
    <row r="26" customFormat="1" s="24">
      <c r="A26" t="n">
        <v>220021</v>
      </c>
      <c r="B26" t="inlineStr">
        <is>
          <t>카야_메인1</t>
        </is>
      </c>
      <c r="C26" t="inlineStr">
        <is>
          <t>M416-스위프트</t>
        </is>
      </c>
      <c r="D26" t="inlineStr">
        <is>
          <t>AR</t>
        </is>
      </c>
      <c r="E26" t="inlineStr">
        <is>
          <t>icon_weapontype_ar</t>
        </is>
      </c>
      <c r="F26" t="inlineStr">
        <is>
          <t>Auto</t>
        </is>
      </c>
      <c r="G26" t="inlineStr">
        <is>
          <t>Bullet</t>
        </is>
      </c>
      <c r="H26" t="inlineStr">
        <is>
          <t>Normal</t>
        </is>
      </c>
      <c r="I26" t="inlineStr">
        <is>
          <t>Damage</t>
        </is>
      </c>
      <c r="J26" t="inlineStr">
        <is>
          <t>Bullet</t>
        </is>
      </c>
      <c r="K26" t="inlineStr">
        <is>
          <t>Aim</t>
        </is>
      </c>
      <c r="L26" t="n">
        <v>1</v>
      </c>
      <c r="M26" t="n">
        <v>0</v>
      </c>
      <c r="N26" t="n">
        <v>0</v>
      </c>
      <c r="O26" t="n">
        <v>1</v>
      </c>
      <c r="P26" t="n">
        <v>220011</v>
      </c>
      <c r="Q26" t="n">
        <v>-1</v>
      </c>
      <c r="R26" t="n">
        <v>220021</v>
      </c>
      <c r="S26" t="inlineStr">
        <is>
          <t>WeaponFireSettings_ar_m416_Default</t>
        </is>
      </c>
      <c r="X26" t="inlineStr">
        <is>
          <t>Enemy</t>
        </is>
      </c>
      <c r="Y26" t="inlineStr">
        <is>
          <t>Enemy</t>
        </is>
      </c>
      <c r="Z26" t="inlineStr">
        <is>
          <t>Cross</t>
        </is>
      </c>
      <c r="AA26" t="inlineStr">
        <is>
          <t>RoundedEdge</t>
        </is>
      </c>
      <c r="AC26" t="n">
        <v>0</v>
      </c>
      <c r="AD26" t="n">
        <v>0</v>
      </c>
      <c r="AE26" t="n">
        <v>0</v>
      </c>
      <c r="AG26" t="inlineStr">
        <is>
          <t>None</t>
        </is>
      </c>
      <c r="AH26" t="inlineStr">
        <is>
          <t>None</t>
        </is>
      </c>
      <c r="AI26" t="n">
        <v>0</v>
      </c>
      <c r="AJ26" t="inlineStr">
        <is>
          <t>CameraSettings_Stand_Default</t>
        </is>
      </c>
      <c r="AK26" t="inlineStr">
        <is>
          <t>CameraSettings_Stand_HipFire</t>
        </is>
      </c>
      <c r="AL26" t="inlineStr">
        <is>
          <t>CameraSettings_Stand_Aim</t>
        </is>
      </c>
      <c r="AM26" t="inlineStr">
        <is>
          <t>CameraSettings_Stand_Ads</t>
        </is>
      </c>
      <c r="AN26" t="inlineStr">
        <is>
          <t>CameraSettings_Crouch_Default</t>
        </is>
      </c>
      <c r="AO26" t="inlineStr">
        <is>
          <t>CameraSettings_Crouch_HipFire</t>
        </is>
      </c>
      <c r="AP26" t="inlineStr">
        <is>
          <t>CameraSettings_Crouch_Aim</t>
        </is>
      </c>
      <c r="AQ26" t="inlineStr">
        <is>
          <t>CameraSettings_Crouch_Ads</t>
        </is>
      </c>
      <c r="AS26" t="inlineStr">
        <is>
          <t>Always</t>
        </is>
      </c>
    </row>
    <row r="27" customFormat="1" s="24">
      <c r="A27" t="n">
        <v>220022</v>
      </c>
      <c r="B27" t="inlineStr">
        <is>
          <t>카야_메인2</t>
        </is>
      </c>
      <c r="C27" t="inlineStr">
        <is>
          <t>M249-그리즐리</t>
        </is>
      </c>
      <c r="D27" t="inlineStr">
        <is>
          <t>LMG</t>
        </is>
      </c>
      <c r="E27" t="inlineStr">
        <is>
          <t>icon_weapontype_lmg</t>
        </is>
      </c>
      <c r="F27" t="inlineStr">
        <is>
          <t>Auto</t>
        </is>
      </c>
      <c r="G27" t="inlineStr">
        <is>
          <t>Bullet</t>
        </is>
      </c>
      <c r="H27" t="inlineStr">
        <is>
          <t>Normal</t>
        </is>
      </c>
      <c r="I27" t="inlineStr">
        <is>
          <t>Damage</t>
        </is>
      </c>
      <c r="J27" t="inlineStr">
        <is>
          <t>Bullet</t>
        </is>
      </c>
      <c r="K27" t="inlineStr">
        <is>
          <t>Aim</t>
        </is>
      </c>
      <c r="L27" t="n">
        <v>1</v>
      </c>
      <c r="M27" t="n">
        <v>0</v>
      </c>
      <c r="N27" t="n">
        <v>0</v>
      </c>
      <c r="O27" t="n">
        <v>1</v>
      </c>
      <c r="P27" t="n">
        <v>220012</v>
      </c>
      <c r="Q27" t="n">
        <v>-1</v>
      </c>
      <c r="R27" t="n">
        <v>220022</v>
      </c>
      <c r="S27" t="inlineStr">
        <is>
          <t>WeaponFireSettings_lmg_m249_Default</t>
        </is>
      </c>
      <c r="X27" t="inlineStr">
        <is>
          <t>Enemy</t>
        </is>
      </c>
      <c r="Y27" t="inlineStr">
        <is>
          <t>Enemy</t>
        </is>
      </c>
      <c r="Z27" t="inlineStr">
        <is>
          <t>Cross</t>
        </is>
      </c>
      <c r="AA27" t="inlineStr">
        <is>
          <t>RoundedEdge</t>
        </is>
      </c>
      <c r="AC27" t="n">
        <v>0</v>
      </c>
      <c r="AD27" t="n">
        <v>0</v>
      </c>
      <c r="AE27" t="n">
        <v>0</v>
      </c>
      <c r="AG27" t="inlineStr">
        <is>
          <t>None</t>
        </is>
      </c>
      <c r="AH27" t="inlineStr">
        <is>
          <t>None</t>
        </is>
      </c>
      <c r="AI27" t="n">
        <v>0</v>
      </c>
      <c r="AJ27" t="inlineStr">
        <is>
          <t>CameraSettings_Stand_Default</t>
        </is>
      </c>
      <c r="AK27" t="inlineStr">
        <is>
          <t>CameraSettings_Stand_HipFire</t>
        </is>
      </c>
      <c r="AL27" t="inlineStr">
        <is>
          <t>CameraSettings_Stand_Aim</t>
        </is>
      </c>
      <c r="AM27" t="inlineStr">
        <is>
          <t>CameraSettings_Stand_Ads</t>
        </is>
      </c>
      <c r="AN27" t="inlineStr">
        <is>
          <t>CameraSettings_Crouch_Default</t>
        </is>
      </c>
      <c r="AO27" t="inlineStr">
        <is>
          <t>CameraSettings_Crouch_HipFire</t>
        </is>
      </c>
      <c r="AP27" t="inlineStr">
        <is>
          <t>CameraSettings_Crouch_Aim</t>
        </is>
      </c>
      <c r="AQ27" t="inlineStr">
        <is>
          <t>CameraSettings_Crouch_Ads</t>
        </is>
      </c>
      <c r="AS27" t="inlineStr">
        <is>
          <t>Always</t>
        </is>
      </c>
    </row>
    <row r="28" customFormat="1" s="24">
      <c r="A28" t="n">
        <v>220023</v>
      </c>
      <c r="B28" t="inlineStr">
        <is>
          <t>카야_서브</t>
        </is>
      </c>
      <c r="C28" t="inlineStr">
        <is>
          <t>Deagle-헤라</t>
        </is>
      </c>
      <c r="D28" t="inlineStr">
        <is>
          <t>HG</t>
        </is>
      </c>
      <c r="E28" t="inlineStr">
        <is>
          <t>icon_weapontype_hg</t>
        </is>
      </c>
      <c r="F28" t="inlineStr">
        <is>
          <t>Auto</t>
        </is>
      </c>
      <c r="G28" t="inlineStr">
        <is>
          <t>Bullet</t>
        </is>
      </c>
      <c r="H28" t="inlineStr">
        <is>
          <t>Normal</t>
        </is>
      </c>
      <c r="I28" t="inlineStr">
        <is>
          <t>Damage</t>
        </is>
      </c>
      <c r="J28" t="inlineStr">
        <is>
          <t>Bullet</t>
        </is>
      </c>
      <c r="K28" t="inlineStr">
        <is>
          <t>Aim</t>
        </is>
      </c>
      <c r="L28" t="n">
        <v>1</v>
      </c>
      <c r="M28" t="n">
        <v>0</v>
      </c>
      <c r="N28" t="n">
        <v>0</v>
      </c>
      <c r="O28" t="n">
        <v>1</v>
      </c>
      <c r="P28" t="n">
        <v>220013</v>
      </c>
      <c r="Q28" t="n">
        <v>-1</v>
      </c>
      <c r="R28" t="n">
        <v>220023</v>
      </c>
      <c r="S28" t="inlineStr">
        <is>
          <t>WeaponFireSettings_hg_deagle_Default</t>
        </is>
      </c>
      <c r="X28" t="inlineStr">
        <is>
          <t>Enemy</t>
        </is>
      </c>
      <c r="Y28" t="inlineStr">
        <is>
          <t>Enemy</t>
        </is>
      </c>
      <c r="Z28" t="inlineStr">
        <is>
          <t>Cross</t>
        </is>
      </c>
      <c r="AA28" t="inlineStr">
        <is>
          <t>RoundedEdge</t>
        </is>
      </c>
      <c r="AC28" t="n">
        <v>0</v>
      </c>
      <c r="AD28" t="n">
        <v>0</v>
      </c>
      <c r="AE28" t="n">
        <v>0</v>
      </c>
      <c r="AG28" t="inlineStr">
        <is>
          <t>None</t>
        </is>
      </c>
      <c r="AH28" t="inlineStr">
        <is>
          <t>None</t>
        </is>
      </c>
      <c r="AI28" t="n">
        <v>0</v>
      </c>
      <c r="AJ28" t="inlineStr">
        <is>
          <t>CameraSettings_Stand_Default</t>
        </is>
      </c>
      <c r="AK28" t="inlineStr">
        <is>
          <t>CameraSettings_Stand_HipFire</t>
        </is>
      </c>
      <c r="AL28" t="inlineStr">
        <is>
          <t>CameraSettings_Stand_Aim</t>
        </is>
      </c>
      <c r="AM28" t="inlineStr">
        <is>
          <t>CameraSettings_Stand_Ads</t>
        </is>
      </c>
      <c r="AN28" t="inlineStr">
        <is>
          <t>CameraSettings_Crouch_Default</t>
        </is>
      </c>
      <c r="AO28" t="inlineStr">
        <is>
          <t>CameraSettings_Crouch_HipFire</t>
        </is>
      </c>
      <c r="AP28" t="inlineStr">
        <is>
          <t>CameraSettings_Crouch_Aim</t>
        </is>
      </c>
      <c r="AQ28" t="inlineStr">
        <is>
          <t>CameraSettings_Crouch_Ads</t>
        </is>
      </c>
      <c r="AS28" t="inlineStr">
        <is>
          <t>Always</t>
        </is>
      </c>
    </row>
    <row r="29" customFormat="1" s="24">
      <c r="A29" t="n">
        <v>220024</v>
      </c>
      <c r="B29" t="inlineStr">
        <is>
          <t>카야_궁</t>
        </is>
      </c>
      <c r="C29" t="inlineStr">
        <is>
          <t>striker_rocket_launcher-판처파우스트</t>
        </is>
      </c>
      <c r="D29" t="inlineStr">
        <is>
          <t>Special</t>
        </is>
      </c>
      <c r="E29" t="inlineStr">
        <is>
          <t>icon_weapontype_special</t>
        </is>
      </c>
      <c r="F29" t="inlineStr">
        <is>
          <t>Auto</t>
        </is>
      </c>
      <c r="H29" t="inlineStr">
        <is>
          <t>SkillWeapon</t>
        </is>
      </c>
      <c r="I29" t="inlineStr">
        <is>
          <t>Damage</t>
        </is>
      </c>
      <c r="J29" t="inlineStr">
        <is>
          <t>Splash</t>
        </is>
      </c>
      <c r="K29" t="inlineStr">
        <is>
          <t>Aim</t>
        </is>
      </c>
      <c r="L29" t="n">
        <v>1</v>
      </c>
      <c r="M29" t="n">
        <v>0</v>
      </c>
      <c r="N29" t="n">
        <v>0</v>
      </c>
      <c r="O29" t="n">
        <v>1</v>
      </c>
      <c r="P29" t="n">
        <v>220014</v>
      </c>
      <c r="Q29" t="n">
        <v>-1</v>
      </c>
      <c r="R29" t="n">
        <v>220024</v>
      </c>
      <c r="S29" t="inlineStr">
        <is>
          <t>WeaponFireSettings_striker_rocket_launcher</t>
        </is>
      </c>
      <c r="T29" t="n">
        <v>2200141</v>
      </c>
      <c r="U29" t="n">
        <v>200130</v>
      </c>
      <c r="X29" t="inlineStr">
        <is>
          <t>None</t>
        </is>
      </c>
      <c r="Y29" t="inlineStr">
        <is>
          <t>Enemy</t>
        </is>
      </c>
      <c r="Z29" t="inlineStr">
        <is>
          <t>Launcher</t>
        </is>
      </c>
      <c r="AA29" t="inlineStr">
        <is>
          <t>None</t>
        </is>
      </c>
      <c r="AB29" t="inlineStr">
        <is>
          <t>crosshair_launcher</t>
        </is>
      </c>
      <c r="AC29" t="n">
        <v>0</v>
      </c>
      <c r="AD29" t="n">
        <v>1</v>
      </c>
      <c r="AE29" t="n">
        <v>1</v>
      </c>
      <c r="AG29" t="inlineStr">
        <is>
          <t>Aim</t>
        </is>
      </c>
      <c r="AH29" t="inlineStr">
        <is>
          <t>None</t>
        </is>
      </c>
      <c r="AI29" t="n">
        <v>0</v>
      </c>
      <c r="AJ29" t="inlineStr">
        <is>
          <t>CameraSettings_Stand_Aim_RocketLauncher</t>
        </is>
      </c>
      <c r="AK29" t="inlineStr">
        <is>
          <t>CameraSettings_Stand_Aim_RocketLauncher</t>
        </is>
      </c>
      <c r="AL29" t="inlineStr">
        <is>
          <t>CameraSettings_Stand_Aim_RocketLauncher</t>
        </is>
      </c>
      <c r="AM29" t="inlineStr">
        <is>
          <t>CameraSettings_Stand_Aim_RocketLauncher</t>
        </is>
      </c>
      <c r="AN29" t="inlineStr">
        <is>
          <t>CameraSettings_Crouch_Aim_RocketLauncher</t>
        </is>
      </c>
      <c r="AO29" t="inlineStr">
        <is>
          <t>CameraSettings_Crouch_Aim_RocketLauncher</t>
        </is>
      </c>
      <c r="AP29" t="inlineStr">
        <is>
          <t>CameraSettings_Crouch_Aim_RocketLauncher</t>
        </is>
      </c>
      <c r="AQ29" t="inlineStr">
        <is>
          <t>CameraSettings_Crouch_Aim_RocketLauncher</t>
        </is>
      </c>
      <c r="AR29" t="inlineStr">
        <is>
          <t>VignetteSettings_Weapon_RocketLauncher</t>
        </is>
      </c>
      <c r="AS29" t="inlineStr">
        <is>
          <t>Always</t>
        </is>
      </c>
    </row>
    <row r="30" customFormat="1" s="24">
      <c r="A30" t="n">
        <v>230021</v>
      </c>
      <c r="B30" t="inlineStr">
        <is>
          <t>엔젤_메인1</t>
        </is>
      </c>
      <c r="C30" t="inlineStr">
        <is>
          <t>Vector-아스타로트</t>
        </is>
      </c>
      <c r="D30" t="inlineStr">
        <is>
          <t>SMG</t>
        </is>
      </c>
      <c r="E30" t="inlineStr">
        <is>
          <t>icon_weapontype_smg</t>
        </is>
      </c>
      <c r="F30" t="inlineStr">
        <is>
          <t>Auto</t>
        </is>
      </c>
      <c r="G30" t="inlineStr">
        <is>
          <t>Bullet</t>
        </is>
      </c>
      <c r="H30" t="inlineStr">
        <is>
          <t>Normal</t>
        </is>
      </c>
      <c r="I30" t="inlineStr">
        <is>
          <t>Damage</t>
        </is>
      </c>
      <c r="J30" t="inlineStr">
        <is>
          <t>Bullet</t>
        </is>
      </c>
      <c r="K30" t="inlineStr">
        <is>
          <t>Aim</t>
        </is>
      </c>
      <c r="L30" t="n">
        <v>1</v>
      </c>
      <c r="M30" t="n">
        <v>0</v>
      </c>
      <c r="N30" t="n">
        <v>0</v>
      </c>
      <c r="O30" t="n">
        <v>1</v>
      </c>
      <c r="P30" t="n">
        <v>230011</v>
      </c>
      <c r="Q30" t="n">
        <v>-1</v>
      </c>
      <c r="R30" t="n">
        <v>230021</v>
      </c>
      <c r="S30" t="inlineStr">
        <is>
          <t>WeaponFireSettings_smg_vector_Default</t>
        </is>
      </c>
      <c r="X30" t="inlineStr">
        <is>
          <t>Enemy</t>
        </is>
      </c>
      <c r="Y30" t="inlineStr">
        <is>
          <t>Enemy</t>
        </is>
      </c>
      <c r="Z30" t="inlineStr">
        <is>
          <t>Cross</t>
        </is>
      </c>
      <c r="AA30" t="inlineStr">
        <is>
          <t>RoundedEdge</t>
        </is>
      </c>
      <c r="AC30" t="n">
        <v>0</v>
      </c>
      <c r="AD30" t="n">
        <v>0</v>
      </c>
      <c r="AE30" t="n">
        <v>0</v>
      </c>
      <c r="AG30" t="inlineStr">
        <is>
          <t>None</t>
        </is>
      </c>
      <c r="AH30" t="inlineStr">
        <is>
          <t>None</t>
        </is>
      </c>
      <c r="AI30" t="n">
        <v>0</v>
      </c>
      <c r="AJ30" t="inlineStr">
        <is>
          <t>CameraSettings_Stand_Default</t>
        </is>
      </c>
      <c r="AK30" t="inlineStr">
        <is>
          <t>CameraSettings_Stand_HipFire</t>
        </is>
      </c>
      <c r="AL30" t="inlineStr">
        <is>
          <t>CameraSettings_Stand_Aim</t>
        </is>
      </c>
      <c r="AM30" t="inlineStr">
        <is>
          <t>CameraSettings_Stand_Ads</t>
        </is>
      </c>
      <c r="AN30" t="inlineStr">
        <is>
          <t>CameraSettings_Crouch_Default</t>
        </is>
      </c>
      <c r="AO30" t="inlineStr">
        <is>
          <t>CameraSettings_Crouch_HipFire</t>
        </is>
      </c>
      <c r="AP30" t="inlineStr">
        <is>
          <t>CameraSettings_Crouch_Aim</t>
        </is>
      </c>
      <c r="AQ30" t="inlineStr">
        <is>
          <t>CameraSettings_Crouch_Ads</t>
        </is>
      </c>
      <c r="AS30" t="inlineStr">
        <is>
          <t>Always</t>
        </is>
      </c>
    </row>
    <row r="31" customFormat="1" s="24">
      <c r="A31" t="n">
        <v>230022</v>
      </c>
      <c r="B31" t="inlineStr">
        <is>
          <t>엔젤_메인2</t>
        </is>
      </c>
      <c r="C31" t="inlineStr">
        <is>
          <t>AWM-도미니온</t>
        </is>
      </c>
      <c r="D31" t="inlineStr">
        <is>
          <t>SR</t>
        </is>
      </c>
      <c r="E31" t="inlineStr">
        <is>
          <t>icon_weapontype_sr</t>
        </is>
      </c>
      <c r="F31" t="inlineStr">
        <is>
          <t>Semi</t>
        </is>
      </c>
      <c r="G31" t="inlineStr">
        <is>
          <t>Bullet</t>
        </is>
      </c>
      <c r="H31" t="inlineStr">
        <is>
          <t>Normal</t>
        </is>
      </c>
      <c r="I31" t="inlineStr">
        <is>
          <t>Damage</t>
        </is>
      </c>
      <c r="J31" t="inlineStr">
        <is>
          <t>Bullet</t>
        </is>
      </c>
      <c r="K31" t="inlineStr">
        <is>
          <t>Ads</t>
        </is>
      </c>
      <c r="L31" t="n">
        <v>1</v>
      </c>
      <c r="M31" t="n">
        <v>0</v>
      </c>
      <c r="N31" t="n">
        <v>0</v>
      </c>
      <c r="O31" t="n">
        <v>1</v>
      </c>
      <c r="P31" t="n">
        <v>230012</v>
      </c>
      <c r="Q31" t="n">
        <v>-1</v>
      </c>
      <c r="R31" t="n">
        <v>230022</v>
      </c>
      <c r="S31" t="inlineStr">
        <is>
          <t>WeaponFireSettings_sr_awm_Default</t>
        </is>
      </c>
      <c r="X31" t="inlineStr">
        <is>
          <t>Enemy</t>
        </is>
      </c>
      <c r="Y31" t="inlineStr">
        <is>
          <t>Enemy</t>
        </is>
      </c>
      <c r="Z31" t="inlineStr">
        <is>
          <t>Cross</t>
        </is>
      </c>
      <c r="AA31" t="inlineStr">
        <is>
          <t>RoundedEdge</t>
        </is>
      </c>
      <c r="AC31" t="n">
        <v>0</v>
      </c>
      <c r="AD31" t="n">
        <v>0</v>
      </c>
      <c r="AE31" t="n">
        <v>0</v>
      </c>
      <c r="AG31" t="inlineStr">
        <is>
          <t>None</t>
        </is>
      </c>
      <c r="AH31" t="inlineStr">
        <is>
          <t>None</t>
        </is>
      </c>
      <c r="AI31" t="n">
        <v>0</v>
      </c>
      <c r="AJ31" t="inlineStr">
        <is>
          <t>CameraSettings_Stand_Default</t>
        </is>
      </c>
      <c r="AK31" t="inlineStr">
        <is>
          <t>CameraSettings_Stand_HipFire</t>
        </is>
      </c>
      <c r="AL31" t="inlineStr">
        <is>
          <t>CameraSettings_Stand_Aim</t>
        </is>
      </c>
      <c r="AM31" t="inlineStr">
        <is>
          <t>CameraSettings_Stand_Ads</t>
        </is>
      </c>
      <c r="AN31" t="inlineStr">
        <is>
          <t>CameraSettings_Crouch_Default</t>
        </is>
      </c>
      <c r="AO31" t="inlineStr">
        <is>
          <t>CameraSettings_Crouch_HipFire</t>
        </is>
      </c>
      <c r="AP31" t="inlineStr">
        <is>
          <t>CameraSettings_Crouch_Aim</t>
        </is>
      </c>
      <c r="AQ31" t="inlineStr">
        <is>
          <t>CameraSettings_Crouch_Ads</t>
        </is>
      </c>
      <c r="AS31" t="inlineStr">
        <is>
          <t>ADS</t>
        </is>
      </c>
    </row>
    <row r="32" customFormat="1" s="24">
      <c r="A32" t="n">
        <v>230023</v>
      </c>
      <c r="B32" t="inlineStr">
        <is>
          <t>엔젤_서브</t>
        </is>
      </c>
      <c r="C32" t="inlineStr">
        <is>
          <t>P1911-스카디</t>
        </is>
      </c>
      <c r="D32" t="inlineStr">
        <is>
          <t>HG</t>
        </is>
      </c>
      <c r="E32" t="inlineStr">
        <is>
          <t>icon_weapontype_hg</t>
        </is>
      </c>
      <c r="F32" t="inlineStr">
        <is>
          <t>Auto</t>
        </is>
      </c>
      <c r="G32" t="inlineStr">
        <is>
          <t>Bullet</t>
        </is>
      </c>
      <c r="H32" t="inlineStr">
        <is>
          <t>Normal</t>
        </is>
      </c>
      <c r="I32" t="inlineStr">
        <is>
          <t>Damage</t>
        </is>
      </c>
      <c r="J32" t="inlineStr">
        <is>
          <t>Bullet</t>
        </is>
      </c>
      <c r="K32" t="inlineStr">
        <is>
          <t>Aim</t>
        </is>
      </c>
      <c r="L32" t="n">
        <v>1</v>
      </c>
      <c r="M32" t="n">
        <v>0</v>
      </c>
      <c r="N32" t="n">
        <v>0</v>
      </c>
      <c r="O32" t="n">
        <v>1</v>
      </c>
      <c r="P32" t="n">
        <v>230013</v>
      </c>
      <c r="Q32" t="n">
        <v>-1</v>
      </c>
      <c r="R32" t="n">
        <v>230023</v>
      </c>
      <c r="S32" t="inlineStr">
        <is>
          <t>WeaponFireSettings_hg_p1911_Default</t>
        </is>
      </c>
      <c r="X32" t="inlineStr">
        <is>
          <t>Enemy</t>
        </is>
      </c>
      <c r="Y32" t="inlineStr">
        <is>
          <t>Enemy</t>
        </is>
      </c>
      <c r="Z32" t="inlineStr">
        <is>
          <t>Cross</t>
        </is>
      </c>
      <c r="AA32" t="inlineStr">
        <is>
          <t>RoundedEdge</t>
        </is>
      </c>
      <c r="AC32" t="n">
        <v>0</v>
      </c>
      <c r="AD32" t="n">
        <v>0</v>
      </c>
      <c r="AE32" t="n">
        <v>0</v>
      </c>
      <c r="AG32" t="inlineStr">
        <is>
          <t>None</t>
        </is>
      </c>
      <c r="AH32" t="inlineStr">
        <is>
          <t>None</t>
        </is>
      </c>
      <c r="AI32" t="n">
        <v>0</v>
      </c>
      <c r="AJ32" t="inlineStr">
        <is>
          <t>CameraSettings_Stand_Default</t>
        </is>
      </c>
      <c r="AK32" t="inlineStr">
        <is>
          <t>CameraSettings_Stand_HipFire</t>
        </is>
      </c>
      <c r="AL32" t="inlineStr">
        <is>
          <t>CameraSettings_Stand_Aim</t>
        </is>
      </c>
      <c r="AM32" t="inlineStr">
        <is>
          <t>CameraSettings_Stand_Ads</t>
        </is>
      </c>
      <c r="AN32" t="inlineStr">
        <is>
          <t>CameraSettings_Crouch_Default</t>
        </is>
      </c>
      <c r="AO32" t="inlineStr">
        <is>
          <t>CameraSettings_Crouch_HipFire</t>
        </is>
      </c>
      <c r="AP32" t="inlineStr">
        <is>
          <t>CameraSettings_Crouch_Aim</t>
        </is>
      </c>
      <c r="AQ32" t="inlineStr">
        <is>
          <t>CameraSettings_Crouch_Ads</t>
        </is>
      </c>
      <c r="AS32" t="inlineStr">
        <is>
          <t>Always</t>
        </is>
      </c>
    </row>
    <row r="33" customFormat="1" s="24">
      <c r="A33" t="n">
        <v>240021</v>
      </c>
      <c r="B33" t="inlineStr">
        <is>
          <t>시냅스_메인1</t>
        </is>
      </c>
      <c r="C33" t="inlineStr">
        <is>
          <t>M16A4-케스트럴</t>
        </is>
      </c>
      <c r="D33" t="inlineStr">
        <is>
          <t>AR</t>
        </is>
      </c>
      <c r="E33" t="inlineStr">
        <is>
          <t>icon_weapontype_ar</t>
        </is>
      </c>
      <c r="F33" t="inlineStr">
        <is>
          <t>Auto</t>
        </is>
      </c>
      <c r="G33" t="inlineStr">
        <is>
          <t>Bullet</t>
        </is>
      </c>
      <c r="H33" t="inlineStr">
        <is>
          <t>Normal</t>
        </is>
      </c>
      <c r="I33" t="inlineStr">
        <is>
          <t>Damage</t>
        </is>
      </c>
      <c r="J33" t="inlineStr">
        <is>
          <t>Bullet</t>
        </is>
      </c>
      <c r="K33" t="inlineStr">
        <is>
          <t>Aim</t>
        </is>
      </c>
      <c r="L33" t="n">
        <v>1</v>
      </c>
      <c r="M33" t="n">
        <v>0</v>
      </c>
      <c r="N33" t="n">
        <v>0</v>
      </c>
      <c r="O33" t="n">
        <v>1</v>
      </c>
      <c r="P33" t="n">
        <v>240011</v>
      </c>
      <c r="Q33" t="n">
        <v>-1</v>
      </c>
      <c r="R33" t="n">
        <v>240021</v>
      </c>
      <c r="S33" t="inlineStr">
        <is>
          <t>WeaponFireSettings_ar_m16a4_Default</t>
        </is>
      </c>
      <c r="X33" t="inlineStr">
        <is>
          <t>Enemy</t>
        </is>
      </c>
      <c r="Y33" t="inlineStr">
        <is>
          <t>Enemy</t>
        </is>
      </c>
      <c r="Z33" t="inlineStr">
        <is>
          <t>Cross</t>
        </is>
      </c>
      <c r="AA33" t="inlineStr">
        <is>
          <t>RoundedEdge</t>
        </is>
      </c>
      <c r="AC33" t="n">
        <v>0</v>
      </c>
      <c r="AD33" t="n">
        <v>0</v>
      </c>
      <c r="AE33" t="n">
        <v>0</v>
      </c>
      <c r="AG33" t="inlineStr">
        <is>
          <t>None</t>
        </is>
      </c>
      <c r="AH33" t="inlineStr">
        <is>
          <t>None</t>
        </is>
      </c>
      <c r="AI33" t="n">
        <v>0</v>
      </c>
      <c r="AJ33" t="inlineStr">
        <is>
          <t>CameraSettings_Stand_Default</t>
        </is>
      </c>
      <c r="AK33" t="inlineStr">
        <is>
          <t>CameraSettings_Stand_HipFire</t>
        </is>
      </c>
      <c r="AL33" t="inlineStr">
        <is>
          <t>CameraSettings_Stand_Aim</t>
        </is>
      </c>
      <c r="AM33" t="inlineStr">
        <is>
          <t>CameraSettings_Stand_Ads</t>
        </is>
      </c>
      <c r="AN33" t="inlineStr">
        <is>
          <t>CameraSettings_Crouch_Default</t>
        </is>
      </c>
      <c r="AO33" t="inlineStr">
        <is>
          <t>CameraSettings_Crouch_HipFire</t>
        </is>
      </c>
      <c r="AP33" t="inlineStr">
        <is>
          <t>CameraSettings_Crouch_Aim</t>
        </is>
      </c>
      <c r="AQ33" t="inlineStr">
        <is>
          <t>CameraSettings_Crouch_Ads</t>
        </is>
      </c>
      <c r="AS33" t="inlineStr">
        <is>
          <t>Always</t>
        </is>
      </c>
    </row>
    <row r="34" customFormat="1" s="24">
      <c r="A34" t="n">
        <v>240022</v>
      </c>
      <c r="B34" t="inlineStr">
        <is>
          <t>시냅스_메인2</t>
        </is>
      </c>
      <c r="C34" t="inlineStr">
        <is>
          <t>SLR-멀릿</t>
        </is>
      </c>
      <c r="D34" t="inlineStr">
        <is>
          <t>DMR</t>
        </is>
      </c>
      <c r="E34" t="inlineStr">
        <is>
          <t>icon_weapontype_dmr</t>
        </is>
      </c>
      <c r="F34" t="inlineStr">
        <is>
          <t>Auto</t>
        </is>
      </c>
      <c r="G34" t="inlineStr">
        <is>
          <t>Bullet</t>
        </is>
      </c>
      <c r="H34" t="inlineStr">
        <is>
          <t>Normal</t>
        </is>
      </c>
      <c r="I34" t="inlineStr">
        <is>
          <t>Damage</t>
        </is>
      </c>
      <c r="J34" t="inlineStr">
        <is>
          <t>Bullet</t>
        </is>
      </c>
      <c r="K34" t="inlineStr">
        <is>
          <t>Ads</t>
        </is>
      </c>
      <c r="L34" t="n">
        <v>1</v>
      </c>
      <c r="M34" t="n">
        <v>0</v>
      </c>
      <c r="N34" t="n">
        <v>0</v>
      </c>
      <c r="O34" t="n">
        <v>1</v>
      </c>
      <c r="P34" t="n">
        <v>240012</v>
      </c>
      <c r="Q34" t="n">
        <v>-1</v>
      </c>
      <c r="R34" t="n">
        <v>240022</v>
      </c>
      <c r="S34" t="inlineStr">
        <is>
          <t>WeaponFireSettings_dmr_slr_Default</t>
        </is>
      </c>
      <c r="X34" t="inlineStr">
        <is>
          <t>Enemy</t>
        </is>
      </c>
      <c r="Y34" t="inlineStr">
        <is>
          <t>Enemy</t>
        </is>
      </c>
      <c r="Z34" t="inlineStr">
        <is>
          <t>Cross</t>
        </is>
      </c>
      <c r="AA34" t="inlineStr">
        <is>
          <t>RoundedEdge</t>
        </is>
      </c>
      <c r="AC34" t="n">
        <v>0</v>
      </c>
      <c r="AD34" t="n">
        <v>0</v>
      </c>
      <c r="AE34" t="n">
        <v>0</v>
      </c>
      <c r="AG34" t="inlineStr">
        <is>
          <t>None</t>
        </is>
      </c>
      <c r="AH34" t="inlineStr">
        <is>
          <t>None</t>
        </is>
      </c>
      <c r="AI34" t="n">
        <v>0</v>
      </c>
      <c r="AJ34" t="inlineStr">
        <is>
          <t>CameraSettings_Stand_Default</t>
        </is>
      </c>
      <c r="AK34" t="inlineStr">
        <is>
          <t>CameraSettings_Stand_HipFire</t>
        </is>
      </c>
      <c r="AL34" t="inlineStr">
        <is>
          <t>CameraSettings_Stand_Aim</t>
        </is>
      </c>
      <c r="AM34" t="inlineStr">
        <is>
          <t>CameraSettings_Stand_Ads</t>
        </is>
      </c>
      <c r="AN34" t="inlineStr">
        <is>
          <t>CameraSettings_Crouch_Default</t>
        </is>
      </c>
      <c r="AO34" t="inlineStr">
        <is>
          <t>CameraSettings_Crouch_HipFire</t>
        </is>
      </c>
      <c r="AP34" t="inlineStr">
        <is>
          <t>CameraSettings_Crouch_Aim</t>
        </is>
      </c>
      <c r="AQ34" t="inlineStr">
        <is>
          <t>CameraSettings_Crouch_Ads</t>
        </is>
      </c>
      <c r="AS34" t="inlineStr">
        <is>
          <t>Always</t>
        </is>
      </c>
    </row>
    <row r="35" customFormat="1" s="24">
      <c r="A35" t="n">
        <v>240023</v>
      </c>
      <c r="B35" t="inlineStr">
        <is>
          <t>시냅스_서브</t>
        </is>
      </c>
      <c r="C35" t="inlineStr">
        <is>
          <t>healing_pistol-주노</t>
        </is>
      </c>
      <c r="D35" t="inlineStr">
        <is>
          <t>Special</t>
        </is>
      </c>
      <c r="E35" t="inlineStr">
        <is>
          <t>icon_weapontype_special</t>
        </is>
      </c>
      <c r="F35" t="inlineStr">
        <is>
          <t>Semi</t>
        </is>
      </c>
      <c r="H35" t="inlineStr">
        <is>
          <t>Normal</t>
        </is>
      </c>
      <c r="I35" t="inlineStr">
        <is>
          <t>Heal</t>
        </is>
      </c>
      <c r="K35" t="inlineStr">
        <is>
          <t>Aim</t>
        </is>
      </c>
      <c r="L35" t="n">
        <v>0</v>
      </c>
      <c r="M35" t="n">
        <v>1</v>
      </c>
      <c r="N35" t="n">
        <v>0</v>
      </c>
      <c r="O35" t="n">
        <v>1</v>
      </c>
      <c r="P35" t="n">
        <v>240013</v>
      </c>
      <c r="Q35" t="n">
        <v>-1</v>
      </c>
      <c r="R35" t="n">
        <v>240023</v>
      </c>
      <c r="S35" t="inlineStr">
        <is>
          <t>WeaponFireSettings_hg_healing_pistol_Default</t>
        </is>
      </c>
      <c r="X35" t="inlineStr">
        <is>
          <t>Ally</t>
        </is>
      </c>
      <c r="Y35" t="inlineStr">
        <is>
          <t>Ally</t>
        </is>
      </c>
      <c r="Z35" t="inlineStr">
        <is>
          <t>Cross</t>
        </is>
      </c>
      <c r="AA35" t="inlineStr">
        <is>
          <t>RoundedEdge</t>
        </is>
      </c>
      <c r="AC35" t="n">
        <v>0</v>
      </c>
      <c r="AD35" t="n">
        <v>0</v>
      </c>
      <c r="AE35" t="n">
        <v>0</v>
      </c>
      <c r="AG35" t="inlineStr">
        <is>
          <t>None</t>
        </is>
      </c>
      <c r="AH35" t="inlineStr">
        <is>
          <t>None</t>
        </is>
      </c>
      <c r="AI35" t="n">
        <v>0</v>
      </c>
      <c r="AJ35" t="inlineStr">
        <is>
          <t>CameraSettings_Stand_Default</t>
        </is>
      </c>
      <c r="AK35" t="inlineStr">
        <is>
          <t>CameraSettings_Stand_HipFire</t>
        </is>
      </c>
      <c r="AL35" t="inlineStr">
        <is>
          <t>CameraSettings_Stand_Aim</t>
        </is>
      </c>
      <c r="AM35" t="inlineStr">
        <is>
          <t>CameraSettings_Stand_Ads</t>
        </is>
      </c>
      <c r="AN35" t="inlineStr">
        <is>
          <t>CameraSettings_Crouch_Default</t>
        </is>
      </c>
      <c r="AO35" t="inlineStr">
        <is>
          <t>CameraSettings_Crouch_HipFire</t>
        </is>
      </c>
      <c r="AP35" t="inlineStr">
        <is>
          <t>CameraSettings_Crouch_Aim</t>
        </is>
      </c>
      <c r="AQ35" t="inlineStr">
        <is>
          <t>CameraSettings_Crouch_Ads</t>
        </is>
      </c>
      <c r="AS35" t="inlineStr">
        <is>
          <t>Always</t>
        </is>
      </c>
    </row>
  </sheetData>
  <conditionalFormatting sqref="F2:K2 S2:W2 U2:U35 X2:AC35">
    <cfRule type="containsText" priority="8" operator="containsText" dxfId="0" text="#">
      <formula>NOT(ISERROR(SEARCH("#",F2)))</formula>
    </cfRule>
  </conditionalFormatting>
  <conditionalFormatting sqref="L3:N35">
    <cfRule type="cellIs" priority="1" operator="equal" dxfId="7">
      <formula>1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2"/>
  <sheetViews>
    <sheetView zoomScale="85" workbookViewId="0">
      <pane xSplit="3" ySplit="2" topLeftCell="U3" activePane="bottomRight" state="frozen"/>
      <selection activeCell="L29" sqref="L29"/>
      <selection pane="topRight" activeCell="L29" sqref="L29"/>
      <selection pane="bottomLeft" activeCell="L29" sqref="L29"/>
      <selection pane="bottomRight" activeCell="BW15" sqref="BW15"/>
    </sheetView>
  </sheetViews>
  <sheetFormatPr baseColWidth="8" defaultRowHeight="16.5"/>
  <cols>
    <col width="11" bestFit="1" customWidth="1" min="1" max="1"/>
    <col width="17.125" bestFit="1" customWidth="1" min="2" max="2"/>
    <col width="35.25" bestFit="1" customWidth="1" min="3" max="3"/>
    <col width="16.5" bestFit="1" customWidth="1" min="4" max="4"/>
    <col width="25.25" bestFit="1" customWidth="1" min="5" max="5"/>
    <col width="25.375" bestFit="1" customWidth="1" min="6" max="6"/>
    <col width="24.875" bestFit="1" customWidth="1" min="7" max="7"/>
    <col width="26.25" bestFit="1" customWidth="1" min="8" max="8"/>
    <col width="20.875" bestFit="1" customWidth="1" min="9" max="9"/>
    <col width="20.75" bestFit="1" customWidth="1" min="10" max="10"/>
    <col width="23.875" bestFit="1" customWidth="1" min="11" max="11"/>
    <col width="12.5" bestFit="1" customWidth="1" min="12" max="12"/>
    <col width="11.125" bestFit="1" customWidth="1" min="13" max="13"/>
    <col width="17.625" bestFit="1" customWidth="1" min="14" max="14"/>
    <col width="31.625" bestFit="1" customWidth="1" min="15" max="15"/>
    <col width="30.625" bestFit="1" customWidth="1" min="16" max="16"/>
    <col width="27.875" bestFit="1" customWidth="1" min="17" max="17"/>
    <col width="18.125" bestFit="1" customWidth="1" min="18" max="20"/>
    <col width="23.25" bestFit="1" customWidth="1" min="21" max="21"/>
    <col width="14.25" bestFit="1" customWidth="1" min="22" max="22"/>
    <col width="24.625" bestFit="1" customWidth="1" min="23" max="23"/>
    <col width="25.375" bestFit="1" customWidth="1" min="24" max="24"/>
    <col width="15" bestFit="1" customWidth="1" min="25" max="25"/>
    <col width="29.875" bestFit="1" customWidth="1" min="26" max="26"/>
    <col width="33.75" bestFit="1" customWidth="1" min="27" max="27"/>
    <col width="30.25" bestFit="1" customWidth="1" min="28" max="29"/>
    <col width="32.875" bestFit="1" customWidth="1" min="30" max="30"/>
    <col width="32.375" bestFit="1" customWidth="1" min="31" max="31"/>
    <col width="30.625" bestFit="1" customWidth="1" min="32" max="32"/>
    <col width="34.875" bestFit="1" customWidth="1" min="33" max="33"/>
    <col width="31.25" bestFit="1" customWidth="1" min="34" max="34"/>
    <col width="31.125" bestFit="1" customWidth="1" min="35" max="35"/>
    <col width="33.75" bestFit="1" customWidth="1" min="36" max="36"/>
    <col width="33.125" bestFit="1" customWidth="1" min="37" max="37"/>
    <col width="21.125" bestFit="1" customWidth="1" min="38" max="38"/>
    <col width="19.125" bestFit="1" customWidth="1" min="39" max="39"/>
    <col width="21" bestFit="1" customWidth="1" min="40" max="40"/>
    <col width="20.875" bestFit="1" customWidth="1" min="41" max="41"/>
    <col width="22.75" bestFit="1" customWidth="1" min="42" max="42"/>
    <col width="22.375" bestFit="1" customWidth="1" min="43" max="43"/>
    <col width="12.625" bestFit="1" customWidth="1" min="44" max="44"/>
    <col width="12.125" bestFit="1" customWidth="1" min="45" max="45"/>
    <col width="27" bestFit="1" customWidth="1" min="46" max="46"/>
    <col width="25.375" bestFit="1" customWidth="1" min="47" max="47"/>
    <col width="24.875" bestFit="1" customWidth="1" min="48" max="48"/>
    <col width="16.25" bestFit="1" customWidth="1" min="49" max="49"/>
    <col width="22.25" bestFit="1" customWidth="1" min="50" max="50"/>
    <col width="27.5" bestFit="1" customWidth="1" min="51" max="51"/>
    <col width="29.875" bestFit="1" customWidth="1" min="52" max="52"/>
    <col width="27.75" bestFit="1" customWidth="1" min="53" max="53"/>
    <col width="22.375" bestFit="1" customWidth="1" min="54" max="54"/>
    <col width="31.5" bestFit="1" customWidth="1" min="55" max="55"/>
    <col width="21.75" bestFit="1" customWidth="1" min="56" max="56"/>
    <col width="19.5" bestFit="1" customWidth="1" min="57" max="57"/>
    <col width="16.125" bestFit="1" customWidth="1" min="58" max="58"/>
    <col width="26.625" customWidth="1" min="59" max="59"/>
    <col width="27.375" bestFit="1" customWidth="1" min="60" max="60"/>
    <col width="14.625" bestFit="1" customWidth="1" min="61" max="61"/>
    <col width="16" bestFit="1" customWidth="1" min="62" max="62"/>
    <col width="12.125" bestFit="1" customWidth="1" min="63" max="63"/>
    <col width="16.5" bestFit="1" customWidth="1" min="64" max="64"/>
    <col width="22.125" bestFit="1" customWidth="1" min="65" max="65"/>
    <col width="23.375" bestFit="1" customWidth="1" min="66" max="66"/>
    <col width="27" bestFit="1" customWidth="1" min="67" max="67"/>
    <col width="17.25" bestFit="1" customWidth="1" min="68" max="68"/>
    <col width="19.25" bestFit="1" customWidth="1" min="69" max="69"/>
    <col width="16.875" bestFit="1" customWidth="1" min="70" max="70"/>
    <col width="22.125" bestFit="1" customWidth="1" min="71" max="71"/>
    <col width="29.125" bestFit="1" customWidth="1" min="72" max="72"/>
    <col width="17.375" bestFit="1" customWidth="1" min="73" max="73"/>
    <col width="24.125" bestFit="1" customWidth="1" min="74" max="74"/>
    <col width="22.75" bestFit="1" customWidth="1" min="75" max="75"/>
    <col width="19.625" bestFit="1" customWidth="1" min="76" max="76"/>
    <col width="13.75" bestFit="1" customWidth="1" min="77" max="77"/>
    <col width="35.375" bestFit="1" customWidth="1" min="78" max="78"/>
    <col width="32.125" bestFit="1" customWidth="1" min="79" max="79"/>
    <col width="43.25" bestFit="1" customWidth="1" min="80" max="80"/>
  </cols>
  <sheetData>
    <row r="1">
      <c r="A1" t="inlineStr">
        <is>
          <t>DataGroup</t>
        </is>
      </c>
      <c r="B1" t="inlineStr">
        <is>
          <t>WeaponStat</t>
        </is>
      </c>
    </row>
    <row r="2">
      <c r="A2" t="inlineStr">
        <is>
          <t>id</t>
        </is>
      </c>
      <c r="B2" t="inlineStr">
        <is>
          <t>#group_memo</t>
        </is>
      </c>
      <c r="C2" t="inlineStr">
        <is>
          <t>#name_memo</t>
        </is>
      </c>
      <c r="D2" t="inlineStr">
        <is>
          <t>damage_base</t>
        </is>
      </c>
      <c r="E2" t="inlineStr">
        <is>
          <t>damage_head_modifier</t>
        </is>
      </c>
      <c r="F2" t="inlineStr">
        <is>
          <t>damage_body_modifier</t>
        </is>
      </c>
      <c r="G2" t="inlineStr">
        <is>
          <t>damage_limb_modifier</t>
        </is>
      </c>
      <c r="H2" t="inlineStr">
        <is>
          <t>damage_shield_modifier</t>
        </is>
      </c>
      <c r="I2" t="inlineStr">
        <is>
          <t>damage_self_value</t>
        </is>
      </c>
      <c r="J2" t="inlineStr">
        <is>
          <t>damage_ally_value</t>
        </is>
      </c>
      <c r="K2" t="inlineStr">
        <is>
          <t>damage_enemy_value</t>
        </is>
      </c>
      <c r="L2" t="inlineStr">
        <is>
          <t>heal_base</t>
        </is>
      </c>
      <c r="M2" t="inlineStr">
        <is>
          <t>fire_rate</t>
        </is>
      </c>
      <c r="N2" t="inlineStr">
        <is>
          <t>effective_range</t>
        </is>
      </c>
      <c r="O2" t="inlineStr">
        <is>
          <t>damage_falloff_start_distance</t>
        </is>
      </c>
      <c r="P2" t="inlineStr">
        <is>
          <t>damage_falloff_end_distance</t>
        </is>
      </c>
      <c r="Q2" t="inlineStr">
        <is>
          <t>damage_falloff_min_value</t>
        </is>
      </c>
      <c r="R2" t="inlineStr">
        <is>
          <t>mag_capacity_1</t>
        </is>
      </c>
      <c r="S2" t="inlineStr">
        <is>
          <t>mag_capacity_2</t>
        </is>
      </c>
      <c r="T2" t="inlineStr">
        <is>
          <t>mag_capacity_3</t>
        </is>
      </c>
      <c r="U2" t="inlineStr">
        <is>
          <t>no_anim_reload_time</t>
        </is>
      </c>
      <c r="V2" t="inlineStr">
        <is>
          <t>reload_time</t>
        </is>
      </c>
      <c r="W2" t="inlineStr">
        <is>
          <t>ammo_amount_spawn</t>
        </is>
      </c>
      <c r="X2" t="inlineStr">
        <is>
          <t>ammo_amount_airdrop</t>
        </is>
      </c>
      <c r="Y2" t="inlineStr">
        <is>
          <t>move_speed</t>
        </is>
      </c>
      <c r="Z2" t="inlineStr">
        <is>
          <t>move_speed_rate_stand_hip</t>
        </is>
      </c>
      <c r="AA2" t="inlineStr">
        <is>
          <t>move_speed_rate_stand_hip_fire</t>
        </is>
      </c>
      <c r="AB2" t="inlineStr">
        <is>
          <t>move_speed_rate_stand_aim</t>
        </is>
      </c>
      <c r="AC2" t="inlineStr">
        <is>
          <t>move_speed_rate_stand_ads</t>
        </is>
      </c>
      <c r="AD2" t="inlineStr">
        <is>
          <t>move_speed_rate_stand_reload</t>
        </is>
      </c>
      <c r="AE2" t="inlineStr">
        <is>
          <t>move_speed_rate_stand_equip</t>
        </is>
      </c>
      <c r="AF2" t="inlineStr">
        <is>
          <t>move_speed_rate_crouch_hip</t>
        </is>
      </c>
      <c r="AG2" t="inlineStr">
        <is>
          <t>move_speed_rate_crouch_hip_fire</t>
        </is>
      </c>
      <c r="AH2" t="inlineStr">
        <is>
          <t>move_speed_rate_crouch_aim</t>
        </is>
      </c>
      <c r="AI2" t="inlineStr">
        <is>
          <t>move_speed_rate_crouch_ads</t>
        </is>
      </c>
      <c r="AJ2" t="inlineStr">
        <is>
          <t>move_speed_rate_crouch_reload</t>
        </is>
      </c>
      <c r="AK2" t="inlineStr">
        <is>
          <t>move_speed_rate_crouch_equip</t>
        </is>
      </c>
      <c r="AL2" t="inlineStr">
        <is>
          <t>deviation_standing</t>
        </is>
      </c>
      <c r="AM2" t="inlineStr">
        <is>
          <t>deviation_crouch</t>
        </is>
      </c>
      <c r="AN2" t="inlineStr">
        <is>
          <t>deviation_rate_aim</t>
        </is>
      </c>
      <c r="AO2" t="inlineStr">
        <is>
          <t>deviation_rate_ads</t>
        </is>
      </c>
      <c r="AP2" t="inlineStr">
        <is>
          <t>deviation_rate_move</t>
        </is>
      </c>
      <c r="AQ2" t="inlineStr">
        <is>
          <t>deviation_rate_jump</t>
        </is>
      </c>
      <c r="AR2" t="inlineStr">
        <is>
          <t>moa_base</t>
        </is>
      </c>
      <c r="AS2" t="inlineStr">
        <is>
          <t>moa_max</t>
        </is>
      </c>
      <c r="AT2" t="inlineStr">
        <is>
          <t>moa_increment_per_shot</t>
        </is>
      </c>
      <c r="AU2" t="inlineStr">
        <is>
          <t>moa_bonus_shot_count</t>
        </is>
      </c>
      <c r="AV2" t="inlineStr">
        <is>
          <t>moa_bonus_reset_time</t>
        </is>
      </c>
      <c r="AW2" t="inlineStr">
        <is>
          <t>moa_recovery</t>
        </is>
      </c>
      <c r="AX2" t="inlineStr">
        <is>
          <t>moa_recovery_delay</t>
        </is>
      </c>
      <c r="AY2" t="inlineStr">
        <is>
          <t>aim_assist_hip_fire_radius</t>
        </is>
      </c>
      <c r="AZ2" t="inlineStr">
        <is>
          <t>aim_assist_ads_enter_raidus</t>
        </is>
      </c>
      <c r="BA2" t="inlineStr">
        <is>
          <t>aim_assist_ads_fire_radius</t>
        </is>
      </c>
      <c r="BB2" t="inlineStr">
        <is>
          <t>aim_assist_keep_fire</t>
        </is>
      </c>
      <c r="BC2" t="inlineStr">
        <is>
          <t>aim_assist_keep_recover_time</t>
        </is>
      </c>
      <c r="BD2" t="inlineStr">
        <is>
          <t>aim_assist_duration</t>
        </is>
      </c>
      <c r="BE2" t="inlineStr">
        <is>
          <t>burst_shot_count</t>
        </is>
      </c>
      <c r="BF2" t="inlineStr">
        <is>
          <t>burst_interval</t>
        </is>
      </c>
      <c r="BG2" t="inlineStr">
        <is>
          <t>burst_min_input_interval</t>
        </is>
      </c>
      <c r="BH2" t="inlineStr">
        <is>
          <t>burst_final_shot_modifier</t>
        </is>
      </c>
      <c r="BI2" t="inlineStr">
        <is>
          <t>pellet_count</t>
        </is>
      </c>
      <c r="BJ2" t="inlineStr">
        <is>
          <t>pellet_spread</t>
        </is>
      </c>
      <c r="BK2" t="inlineStr">
        <is>
          <t>heat_max</t>
        </is>
      </c>
      <c r="BL2" t="inlineStr">
        <is>
          <t>heat_per_shot</t>
        </is>
      </c>
      <c r="BM2" t="inlineStr">
        <is>
          <t>heat_cooldown_rate</t>
        </is>
      </c>
      <c r="BN2" t="inlineStr">
        <is>
          <t>heat_cooldown_delay</t>
        </is>
      </c>
      <c r="BO2" t="inlineStr">
        <is>
          <t>overheat_cooldown_time</t>
        </is>
      </c>
      <c r="BP2" t="inlineStr">
        <is>
          <t>post_fire_delay</t>
        </is>
      </c>
      <c r="BQ2" t="inlineStr">
        <is>
          <t>force_delay_rate</t>
        </is>
      </c>
      <c r="BR2" t="inlineStr">
        <is>
          <t>draw_duration</t>
        </is>
      </c>
      <c r="BS2" t="inlineStr">
        <is>
          <t>fire_hit_energy_gain</t>
        </is>
      </c>
      <c r="BT2" t="inlineStr">
        <is>
          <t>energy_gain_head_modifier</t>
        </is>
      </c>
      <c r="BU2" t="inlineStr">
        <is>
          <t>autofire_radius</t>
        </is>
      </c>
      <c r="BV2" t="inlineStr">
        <is>
          <t>autofire_trigger_timer</t>
        </is>
      </c>
      <c r="BW2" t="inlineStr">
        <is>
          <t>autofire_grace_timer</t>
        </is>
      </c>
      <c r="BX2" t="inlineStr">
        <is>
          <t>charge_max_time</t>
        </is>
      </c>
      <c r="BY2" t="inlineStr">
        <is>
          <t>charge_tier</t>
        </is>
      </c>
      <c r="BZ2" t="inlineStr">
        <is>
          <t>charge_damage_modifier_per_tier</t>
        </is>
      </c>
      <c r="CA2" t="inlineStr">
        <is>
          <t>charge_damage_modifier_max</t>
        </is>
      </c>
      <c r="CB2" t="inlineStr">
        <is>
          <t>charge_ammo_consume_modifier_per_tier</t>
        </is>
      </c>
    </row>
    <row r="3">
      <c r="A3" t="n">
        <v>210011</v>
      </c>
      <c r="B3">
        <f>_xlfn.XLOOKUP(WeaponStat[[#This Row],[id]],Weapon[[#This Row],[id]],Weapon[[#This Row],['#group_memo]])</f>
        <v/>
      </c>
      <c r="C3">
        <f>_xlfn.XLOOKUP(WeaponStat[[#This Row],[id]],Weapon[[#This Row],[id]],Weapon[[#This Row],['#name_memo]])</f>
        <v/>
      </c>
      <c r="D3" t="n">
        <v>10</v>
      </c>
      <c r="E3" t="n">
        <v>17500</v>
      </c>
      <c r="F3" t="n">
        <v>10000</v>
      </c>
      <c r="G3" t="n">
        <v>8500</v>
      </c>
      <c r="H3" t="n">
        <v>10000</v>
      </c>
      <c r="I3" t="n">
        <v>0</v>
      </c>
      <c r="J3" t="n">
        <v>0</v>
      </c>
      <c r="K3" t="n">
        <v>10000</v>
      </c>
      <c r="L3" t="n">
        <v>0</v>
      </c>
      <c r="M3" t="n">
        <v>100</v>
      </c>
      <c r="N3" t="n">
        <v>20000</v>
      </c>
      <c r="O3" t="n">
        <v>1250</v>
      </c>
      <c r="P3" t="n">
        <v>2500</v>
      </c>
      <c r="Q3" t="n">
        <v>4000</v>
      </c>
      <c r="R3" t="n">
        <v>8</v>
      </c>
      <c r="S3" t="n">
        <v>8</v>
      </c>
      <c r="T3" t="n">
        <v>10</v>
      </c>
      <c r="U3" t="n">
        <v>1800</v>
      </c>
      <c r="V3" t="n">
        <v>1600</v>
      </c>
      <c r="W3" t="n">
        <v>9999</v>
      </c>
      <c r="X3" t="n">
        <v>9999</v>
      </c>
      <c r="Y3" t="n">
        <v>400</v>
      </c>
      <c r="Z3" t="n">
        <v>10000</v>
      </c>
      <c r="AA3" t="n">
        <v>6000</v>
      </c>
      <c r="AB3" t="n">
        <v>4000</v>
      </c>
      <c r="AC3" t="n">
        <v>3000</v>
      </c>
      <c r="AD3" t="n">
        <v>8000</v>
      </c>
      <c r="AE3" t="n">
        <v>8000</v>
      </c>
      <c r="AF3" t="n">
        <v>5000</v>
      </c>
      <c r="AG3" t="n">
        <v>3000</v>
      </c>
      <c r="AH3" t="n">
        <v>2500</v>
      </c>
      <c r="AI3" t="n">
        <v>2000</v>
      </c>
      <c r="AJ3" t="n">
        <v>4000</v>
      </c>
      <c r="AK3" t="n">
        <v>4000</v>
      </c>
      <c r="AL3" t="n">
        <v>10000</v>
      </c>
      <c r="AM3" t="n">
        <v>10000</v>
      </c>
      <c r="AN3" t="n">
        <v>10000</v>
      </c>
      <c r="AO3" t="n">
        <v>10000</v>
      </c>
      <c r="AP3" t="n">
        <v>10000</v>
      </c>
      <c r="AQ3" t="n">
        <v>10000</v>
      </c>
      <c r="AR3" t="n">
        <v>24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900</v>
      </c>
      <c r="AZ3" t="n">
        <v>1000</v>
      </c>
      <c r="BA3" t="n">
        <v>900</v>
      </c>
      <c r="BB3" t="n">
        <v>2</v>
      </c>
      <c r="BC3" t="n">
        <v>1000</v>
      </c>
      <c r="BD3" t="n">
        <v>500</v>
      </c>
      <c r="BE3" t="n">
        <v>0</v>
      </c>
      <c r="BF3" t="n">
        <v>0</v>
      </c>
      <c r="BG3" t="n">
        <v>0</v>
      </c>
      <c r="BH3" t="n">
        <v>0</v>
      </c>
      <c r="BI3" t="n">
        <v>10</v>
      </c>
      <c r="BJ3" t="n">
        <v>240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9000</v>
      </c>
      <c r="BR3" t="n">
        <v>300</v>
      </c>
      <c r="BS3" t="n">
        <v>59</v>
      </c>
      <c r="BT3" t="n">
        <v>15000</v>
      </c>
      <c r="BU3" t="n">
        <v>450</v>
      </c>
      <c r="BV3" t="n">
        <v>0</v>
      </c>
      <c r="BW3" t="n">
        <v>150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</row>
    <row r="4">
      <c r="A4" t="n">
        <v>210012</v>
      </c>
      <c r="B4">
        <f>_xlfn.XLOOKUP(WeaponStat[[#This Row],[id]],Weapon[[#This Row],[id]],Weapon[[#This Row],['#group_memo]])</f>
        <v/>
      </c>
      <c r="C4">
        <f>_xlfn.XLOOKUP(WeaponStat[[#This Row],[id]],Weapon[[#This Row],[id]],Weapon[[#This Row],['#name_memo]])</f>
        <v/>
      </c>
      <c r="D4" t="n">
        <v>13</v>
      </c>
      <c r="E4" t="n">
        <v>17500</v>
      </c>
      <c r="F4" t="n">
        <v>10000</v>
      </c>
      <c r="G4" t="n">
        <v>8500</v>
      </c>
      <c r="H4" t="n">
        <v>10000</v>
      </c>
      <c r="I4" t="n">
        <v>0</v>
      </c>
      <c r="J4" t="n">
        <v>0</v>
      </c>
      <c r="K4" t="n">
        <v>10000</v>
      </c>
      <c r="L4" t="n">
        <v>0</v>
      </c>
      <c r="M4" t="n">
        <v>600</v>
      </c>
      <c r="N4" t="n">
        <v>20000</v>
      </c>
      <c r="O4" t="n">
        <v>2500</v>
      </c>
      <c r="P4" t="n">
        <v>5500</v>
      </c>
      <c r="Q4" t="n">
        <v>4000</v>
      </c>
      <c r="R4" t="n">
        <v>50</v>
      </c>
      <c r="S4" t="n">
        <v>45</v>
      </c>
      <c r="T4" t="n">
        <v>60</v>
      </c>
      <c r="U4" t="n">
        <v>1800</v>
      </c>
      <c r="V4" t="n">
        <v>1600</v>
      </c>
      <c r="W4" t="n">
        <v>9999</v>
      </c>
      <c r="X4" t="n">
        <v>9999</v>
      </c>
      <c r="Y4" t="n">
        <v>420</v>
      </c>
      <c r="Z4" t="n">
        <v>10000</v>
      </c>
      <c r="AA4" t="n">
        <v>6000</v>
      </c>
      <c r="AB4" t="n">
        <v>4000</v>
      </c>
      <c r="AC4" t="n">
        <v>3000</v>
      </c>
      <c r="AD4" t="n">
        <v>8000</v>
      </c>
      <c r="AE4" t="n">
        <v>8000</v>
      </c>
      <c r="AF4" t="n">
        <v>5000</v>
      </c>
      <c r="AG4" t="n">
        <v>3000</v>
      </c>
      <c r="AH4" t="n">
        <v>2500</v>
      </c>
      <c r="AI4" t="n">
        <v>2000</v>
      </c>
      <c r="AJ4" t="n">
        <v>4000</v>
      </c>
      <c r="AK4" t="n">
        <v>4000</v>
      </c>
      <c r="AL4" t="n">
        <v>10000</v>
      </c>
      <c r="AM4" t="n">
        <v>8500</v>
      </c>
      <c r="AN4" t="n">
        <v>8500</v>
      </c>
      <c r="AO4" t="n">
        <v>8500</v>
      </c>
      <c r="AP4" t="n">
        <v>11000</v>
      </c>
      <c r="AQ4" t="n">
        <v>13000</v>
      </c>
      <c r="AR4" t="n">
        <v>15</v>
      </c>
      <c r="AS4" t="n">
        <v>60</v>
      </c>
      <c r="AT4" t="n">
        <v>25</v>
      </c>
      <c r="AU4" t="n">
        <v>2</v>
      </c>
      <c r="AV4" t="n">
        <v>600</v>
      </c>
      <c r="AW4" t="n">
        <v>150</v>
      </c>
      <c r="AX4" t="n">
        <v>300</v>
      </c>
      <c r="AY4" t="n">
        <v>900</v>
      </c>
      <c r="AZ4" t="n">
        <v>1000</v>
      </c>
      <c r="BA4" t="n">
        <v>900</v>
      </c>
      <c r="BB4" t="n">
        <v>15</v>
      </c>
      <c r="BC4" t="n">
        <v>1000</v>
      </c>
      <c r="BD4" t="n">
        <v>500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9000</v>
      </c>
      <c r="BR4" t="n">
        <v>300</v>
      </c>
      <c r="BS4" t="n">
        <v>87</v>
      </c>
      <c r="BT4" t="n">
        <v>15000</v>
      </c>
      <c r="BU4" t="n">
        <v>450</v>
      </c>
      <c r="BV4" t="n">
        <v>0</v>
      </c>
      <c r="BW4" t="n">
        <v>150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</row>
    <row r="5">
      <c r="A5" t="n">
        <v>210013</v>
      </c>
      <c r="B5">
        <f>_xlfn.XLOOKUP(WeaponStat[[#This Row],[id]],Weapon[[#This Row],[id]],Weapon[[#This Row],['#group_memo]])</f>
        <v/>
      </c>
      <c r="C5">
        <f>_xlfn.XLOOKUP(WeaponStat[[#This Row],[id]],Weapon[[#This Row],[id]],Weapon[[#This Row],['#name_memo]])</f>
        <v/>
      </c>
      <c r="D5" t="n">
        <v>35</v>
      </c>
      <c r="E5" t="n">
        <v>17500</v>
      </c>
      <c r="F5" t="n">
        <v>10000</v>
      </c>
      <c r="G5" t="n">
        <v>8500</v>
      </c>
      <c r="H5" t="n">
        <v>7000</v>
      </c>
      <c r="I5" t="n">
        <v>0</v>
      </c>
      <c r="J5" t="n">
        <v>0</v>
      </c>
      <c r="K5" t="n">
        <v>10000</v>
      </c>
      <c r="L5" t="n">
        <v>0</v>
      </c>
      <c r="M5" t="n">
        <v>210</v>
      </c>
      <c r="N5" t="n">
        <v>20000</v>
      </c>
      <c r="O5" t="n">
        <v>2500</v>
      </c>
      <c r="P5" t="n">
        <v>4500</v>
      </c>
      <c r="Q5" t="n">
        <v>3000</v>
      </c>
      <c r="R5" t="n">
        <v>14</v>
      </c>
      <c r="S5" t="n">
        <v>21</v>
      </c>
      <c r="T5" t="n">
        <v>28</v>
      </c>
      <c r="U5" t="n">
        <v>1500</v>
      </c>
      <c r="V5" t="n">
        <v>1500</v>
      </c>
      <c r="W5" t="n">
        <v>9999</v>
      </c>
      <c r="X5" t="n">
        <v>9999</v>
      </c>
      <c r="Y5" t="n">
        <v>470</v>
      </c>
      <c r="Z5" t="n">
        <v>10000</v>
      </c>
      <c r="AA5" t="n">
        <v>6000</v>
      </c>
      <c r="AB5" t="n">
        <v>4000</v>
      </c>
      <c r="AC5" t="n">
        <v>3000</v>
      </c>
      <c r="AD5" t="n">
        <v>8000</v>
      </c>
      <c r="AE5" t="n">
        <v>8000</v>
      </c>
      <c r="AF5" t="n">
        <v>5000</v>
      </c>
      <c r="AG5" t="n">
        <v>3000</v>
      </c>
      <c r="AH5" t="n">
        <v>2500</v>
      </c>
      <c r="AI5" t="n">
        <v>2000</v>
      </c>
      <c r="AJ5" t="n">
        <v>4000</v>
      </c>
      <c r="AK5" t="n">
        <v>4000</v>
      </c>
      <c r="AL5" t="n">
        <v>10000</v>
      </c>
      <c r="AM5" t="n">
        <v>8500</v>
      </c>
      <c r="AN5" t="n">
        <v>8500</v>
      </c>
      <c r="AO5" t="n">
        <v>8500</v>
      </c>
      <c r="AP5" t="n">
        <v>11000</v>
      </c>
      <c r="AQ5" t="n">
        <v>13000</v>
      </c>
      <c r="AR5" t="n">
        <v>12</v>
      </c>
      <c r="AS5" t="n">
        <v>50</v>
      </c>
      <c r="AT5" t="n">
        <v>12</v>
      </c>
      <c r="AU5" t="n">
        <v>2</v>
      </c>
      <c r="AV5" t="n">
        <v>600</v>
      </c>
      <c r="AW5" t="n">
        <v>150</v>
      </c>
      <c r="AX5" t="n">
        <v>300</v>
      </c>
      <c r="AY5" t="n">
        <v>900</v>
      </c>
      <c r="AZ5" t="n">
        <v>1000</v>
      </c>
      <c r="BA5" t="n">
        <v>900</v>
      </c>
      <c r="BB5" t="n">
        <v>4</v>
      </c>
      <c r="BC5" t="n">
        <v>1000</v>
      </c>
      <c r="BD5" t="n">
        <v>500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9000</v>
      </c>
      <c r="BR5" t="n">
        <v>300</v>
      </c>
      <c r="BS5" t="n">
        <v>97</v>
      </c>
      <c r="BT5" t="n">
        <v>15000</v>
      </c>
      <c r="BU5" t="n">
        <v>450</v>
      </c>
      <c r="BV5" t="n">
        <v>150</v>
      </c>
      <c r="BW5" t="n">
        <v>300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</row>
    <row r="6">
      <c r="A6" t="n">
        <v>210014</v>
      </c>
      <c r="B6">
        <f>_xlfn.XLOOKUP(WeaponStat[[#This Row],[id]],Weapon[[#This Row],[id]],Weapon[[#This Row],['#group_memo]])</f>
        <v/>
      </c>
      <c r="C6">
        <f>_xlfn.XLOOKUP(WeaponStat[[#This Row],[id]],Weapon[[#This Row],[id]],Weapon[[#This Row],['#name_memo]])</f>
        <v/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10000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150</v>
      </c>
      <c r="Z6" t="n">
        <v>10000</v>
      </c>
      <c r="AA6" t="n">
        <v>6000</v>
      </c>
      <c r="AB6" t="n">
        <v>4000</v>
      </c>
      <c r="AC6" t="n">
        <v>3000</v>
      </c>
      <c r="AD6" t="n">
        <v>8000</v>
      </c>
      <c r="AE6" t="n">
        <v>8000</v>
      </c>
      <c r="AF6" t="n">
        <v>5000</v>
      </c>
      <c r="AG6" t="n">
        <v>3000</v>
      </c>
      <c r="AH6" t="n">
        <v>2500</v>
      </c>
      <c r="AI6" t="n">
        <v>2000</v>
      </c>
      <c r="AJ6" t="n">
        <v>4000</v>
      </c>
      <c r="AK6" t="n">
        <v>4000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9000</v>
      </c>
      <c r="BR6" t="n">
        <v>600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</row>
    <row r="7">
      <c r="A7" t="n">
        <v>220011</v>
      </c>
      <c r="B7">
        <f>_xlfn.XLOOKUP(WeaponStat[[#This Row],[id]],Weapon[[#This Row],[id]],Weapon[[#This Row],['#group_memo]])</f>
        <v/>
      </c>
      <c r="C7">
        <f>_xlfn.XLOOKUP(WeaponStat[[#This Row],[id]],Weapon[[#This Row],[id]],Weapon[[#This Row],['#name_memo]])</f>
        <v/>
      </c>
      <c r="D7" t="n">
        <v>21</v>
      </c>
      <c r="E7" t="n">
        <v>17500</v>
      </c>
      <c r="F7" t="n">
        <v>10000</v>
      </c>
      <c r="G7" t="n">
        <v>8500</v>
      </c>
      <c r="H7" t="n">
        <v>10000</v>
      </c>
      <c r="I7" t="n">
        <v>0</v>
      </c>
      <c r="J7" t="n">
        <v>0</v>
      </c>
      <c r="K7" t="n">
        <v>10000</v>
      </c>
      <c r="L7" t="n">
        <v>0</v>
      </c>
      <c r="M7" t="n">
        <v>450</v>
      </c>
      <c r="N7" t="n">
        <v>20000</v>
      </c>
      <c r="O7" t="n">
        <v>2500</v>
      </c>
      <c r="P7" t="n">
        <v>4500</v>
      </c>
      <c r="Q7" t="n">
        <v>4000</v>
      </c>
      <c r="R7" t="n">
        <v>30</v>
      </c>
      <c r="S7" t="n">
        <v>45</v>
      </c>
      <c r="T7" t="n">
        <v>60</v>
      </c>
      <c r="U7" t="n">
        <v>1800</v>
      </c>
      <c r="V7" t="n">
        <v>1800</v>
      </c>
      <c r="W7" t="n">
        <v>9999</v>
      </c>
      <c r="X7" t="n">
        <v>9999</v>
      </c>
      <c r="Y7" t="n">
        <v>400</v>
      </c>
      <c r="Z7" t="n">
        <v>10000</v>
      </c>
      <c r="AA7" t="n">
        <v>6000</v>
      </c>
      <c r="AB7" t="n">
        <v>4000</v>
      </c>
      <c r="AC7" t="n">
        <v>3000</v>
      </c>
      <c r="AD7" t="n">
        <v>8000</v>
      </c>
      <c r="AE7" t="n">
        <v>8000</v>
      </c>
      <c r="AF7" t="n">
        <v>5000</v>
      </c>
      <c r="AG7" t="n">
        <v>3000</v>
      </c>
      <c r="AH7" t="n">
        <v>2500</v>
      </c>
      <c r="AI7" t="n">
        <v>2000</v>
      </c>
      <c r="AJ7" t="n">
        <v>4000</v>
      </c>
      <c r="AK7" t="n">
        <v>4000</v>
      </c>
      <c r="AL7" t="n">
        <v>10000</v>
      </c>
      <c r="AM7" t="n">
        <v>8500</v>
      </c>
      <c r="AN7" t="n">
        <v>8500</v>
      </c>
      <c r="AO7" t="n">
        <v>8500</v>
      </c>
      <c r="AP7" t="n">
        <v>12000</v>
      </c>
      <c r="AQ7" t="n">
        <v>15000</v>
      </c>
      <c r="AR7" t="n">
        <v>15</v>
      </c>
      <c r="AS7" t="n">
        <v>50</v>
      </c>
      <c r="AT7" t="n">
        <v>8</v>
      </c>
      <c r="AU7" t="n">
        <v>3</v>
      </c>
      <c r="AV7" t="n">
        <v>600</v>
      </c>
      <c r="AW7" t="n">
        <v>150</v>
      </c>
      <c r="AX7" t="n">
        <v>300</v>
      </c>
      <c r="AY7" t="n">
        <v>900</v>
      </c>
      <c r="AZ7" t="n">
        <v>1000</v>
      </c>
      <c r="BA7" t="n">
        <v>900</v>
      </c>
      <c r="BB7" t="n">
        <v>12</v>
      </c>
      <c r="BC7" t="n">
        <v>800</v>
      </c>
      <c r="BD7" t="n">
        <v>500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9000</v>
      </c>
      <c r="BR7" t="n">
        <v>500</v>
      </c>
      <c r="BS7" t="n">
        <v>115</v>
      </c>
      <c r="BT7" t="n">
        <v>15000</v>
      </c>
      <c r="BU7" t="n">
        <v>450</v>
      </c>
      <c r="BV7" t="n">
        <v>0</v>
      </c>
      <c r="BW7" t="n">
        <v>150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</row>
    <row r="8">
      <c r="A8" t="n">
        <v>220012</v>
      </c>
      <c r="B8">
        <f>_xlfn.XLOOKUP(WeaponStat[[#This Row],[id]],Weapon[[#This Row],[id]],Weapon[[#This Row],['#group_memo]])</f>
        <v/>
      </c>
      <c r="C8">
        <f>_xlfn.XLOOKUP(WeaponStat[[#This Row],[id]],Weapon[[#This Row],[id]],Weapon[[#This Row],['#name_memo]])</f>
        <v/>
      </c>
      <c r="D8" t="n">
        <v>16</v>
      </c>
      <c r="E8" t="n">
        <v>15000</v>
      </c>
      <c r="F8" t="n">
        <v>10000</v>
      </c>
      <c r="G8" t="n">
        <v>8500</v>
      </c>
      <c r="H8" t="n">
        <v>13000</v>
      </c>
      <c r="I8" t="n">
        <v>0</v>
      </c>
      <c r="J8" t="n">
        <v>0</v>
      </c>
      <c r="K8" t="n">
        <v>10000</v>
      </c>
      <c r="L8" t="n">
        <v>0</v>
      </c>
      <c r="M8" t="n">
        <v>630</v>
      </c>
      <c r="N8" t="n">
        <v>20000</v>
      </c>
      <c r="O8" t="n">
        <v>2000</v>
      </c>
      <c r="P8" t="n">
        <v>4000</v>
      </c>
      <c r="Q8" t="n">
        <v>4000</v>
      </c>
      <c r="R8" t="n">
        <v>75</v>
      </c>
      <c r="S8" t="n">
        <v>113</v>
      </c>
      <c r="T8" t="n">
        <v>150</v>
      </c>
      <c r="U8" t="n">
        <v>2800</v>
      </c>
      <c r="V8" t="n">
        <v>2800</v>
      </c>
      <c r="W8" t="n">
        <v>9999</v>
      </c>
      <c r="X8" t="n">
        <v>9999</v>
      </c>
      <c r="Y8" t="n">
        <v>335</v>
      </c>
      <c r="Z8" t="n">
        <v>10000</v>
      </c>
      <c r="AA8" t="n">
        <v>5500</v>
      </c>
      <c r="AB8" t="n">
        <v>4000</v>
      </c>
      <c r="AC8" t="n">
        <v>3000</v>
      </c>
      <c r="AD8" t="n">
        <v>8000</v>
      </c>
      <c r="AE8" t="n">
        <v>8000</v>
      </c>
      <c r="AF8" t="n">
        <v>5000</v>
      </c>
      <c r="AG8" t="n">
        <v>3000</v>
      </c>
      <c r="AH8" t="n">
        <v>2500</v>
      </c>
      <c r="AI8" t="n">
        <v>2000</v>
      </c>
      <c r="AJ8" t="n">
        <v>4000</v>
      </c>
      <c r="AK8" t="n">
        <v>4000</v>
      </c>
      <c r="AL8" t="n">
        <v>10000</v>
      </c>
      <c r="AM8" t="n">
        <v>7000</v>
      </c>
      <c r="AN8" t="n">
        <v>8500</v>
      </c>
      <c r="AO8" t="n">
        <v>8500</v>
      </c>
      <c r="AP8" t="n">
        <v>12000</v>
      </c>
      <c r="AQ8" t="n">
        <v>15000</v>
      </c>
      <c r="AR8" t="n">
        <v>20</v>
      </c>
      <c r="AS8" t="n">
        <v>80</v>
      </c>
      <c r="AT8" t="n">
        <v>25</v>
      </c>
      <c r="AU8" t="n">
        <v>2</v>
      </c>
      <c r="AV8" t="n">
        <v>600</v>
      </c>
      <c r="AW8" t="n">
        <v>200</v>
      </c>
      <c r="AX8" t="n">
        <v>300</v>
      </c>
      <c r="AY8" t="n">
        <v>900</v>
      </c>
      <c r="AZ8" t="n">
        <v>1000</v>
      </c>
      <c r="BA8" t="n">
        <v>900</v>
      </c>
      <c r="BB8" t="n">
        <v>16</v>
      </c>
      <c r="BC8" t="n">
        <v>800</v>
      </c>
      <c r="BD8" t="n">
        <v>500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9000</v>
      </c>
      <c r="BR8" t="n">
        <v>500</v>
      </c>
      <c r="BS8" t="n">
        <v>134</v>
      </c>
      <c r="BT8" t="n">
        <v>15000</v>
      </c>
      <c r="BU8" t="n">
        <v>450</v>
      </c>
      <c r="BV8" t="n">
        <v>0</v>
      </c>
      <c r="BW8" t="n">
        <v>150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</row>
    <row r="9">
      <c r="A9" t="n">
        <v>220013</v>
      </c>
      <c r="B9">
        <f>_xlfn.XLOOKUP(WeaponStat[[#This Row],[id]],Weapon[[#This Row],[id]],Weapon[[#This Row],['#group_memo]])</f>
        <v/>
      </c>
      <c r="C9">
        <f>_xlfn.XLOOKUP(WeaponStat[[#This Row],[id]],Weapon[[#This Row],[id]],Weapon[[#This Row],['#name_memo]])</f>
        <v/>
      </c>
      <c r="D9" t="n">
        <v>50</v>
      </c>
      <c r="E9" t="n">
        <v>25000</v>
      </c>
      <c r="F9" t="n">
        <v>10000</v>
      </c>
      <c r="G9" t="n">
        <v>8500</v>
      </c>
      <c r="H9" t="n">
        <v>10000</v>
      </c>
      <c r="I9" t="n">
        <v>0</v>
      </c>
      <c r="J9" t="n">
        <v>0</v>
      </c>
      <c r="K9" t="n">
        <v>10000</v>
      </c>
      <c r="L9" t="n">
        <v>0</v>
      </c>
      <c r="M9" t="n">
        <v>105</v>
      </c>
      <c r="N9" t="n">
        <v>20000</v>
      </c>
      <c r="O9" t="n">
        <v>2500</v>
      </c>
      <c r="P9" t="n">
        <v>4500</v>
      </c>
      <c r="Q9" t="n">
        <v>3000</v>
      </c>
      <c r="R9" t="n">
        <v>7</v>
      </c>
      <c r="S9" t="n">
        <v>11</v>
      </c>
      <c r="T9" t="n">
        <v>14</v>
      </c>
      <c r="U9" t="n">
        <v>1600</v>
      </c>
      <c r="V9" t="n">
        <v>1600</v>
      </c>
      <c r="W9" t="n">
        <v>9999</v>
      </c>
      <c r="X9" t="n">
        <v>9999</v>
      </c>
      <c r="Y9" t="n">
        <v>470</v>
      </c>
      <c r="Z9" t="n">
        <v>10000</v>
      </c>
      <c r="AA9" t="n">
        <v>6000</v>
      </c>
      <c r="AB9" t="n">
        <v>4000</v>
      </c>
      <c r="AC9" t="n">
        <v>3000</v>
      </c>
      <c r="AD9" t="n">
        <v>8000</v>
      </c>
      <c r="AE9" t="n">
        <v>8000</v>
      </c>
      <c r="AF9" t="n">
        <v>5000</v>
      </c>
      <c r="AG9" t="n">
        <v>3000</v>
      </c>
      <c r="AH9" t="n">
        <v>2500</v>
      </c>
      <c r="AI9" t="n">
        <v>2000</v>
      </c>
      <c r="AJ9" t="n">
        <v>4000</v>
      </c>
      <c r="AK9" t="n">
        <v>4000</v>
      </c>
      <c r="AL9" t="n">
        <v>10000</v>
      </c>
      <c r="AM9" t="n">
        <v>8500</v>
      </c>
      <c r="AN9" t="n">
        <v>8500</v>
      </c>
      <c r="AO9" t="n">
        <v>8500</v>
      </c>
      <c r="AP9" t="n">
        <v>11000</v>
      </c>
      <c r="AQ9" t="n">
        <v>13000</v>
      </c>
      <c r="AR9" t="n">
        <v>10</v>
      </c>
      <c r="AS9" t="n">
        <v>10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900</v>
      </c>
      <c r="AZ9" t="n">
        <v>1000</v>
      </c>
      <c r="BA9" t="n">
        <v>900</v>
      </c>
      <c r="BB9" t="n">
        <v>2</v>
      </c>
      <c r="BC9" t="n">
        <v>800</v>
      </c>
      <c r="BD9" t="n">
        <v>500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9000</v>
      </c>
      <c r="BR9" t="n">
        <v>300</v>
      </c>
      <c r="BS9" t="n">
        <v>286</v>
      </c>
      <c r="BT9" t="n">
        <v>15000</v>
      </c>
      <c r="BU9" t="n">
        <v>450</v>
      </c>
      <c r="BV9" t="n">
        <v>0</v>
      </c>
      <c r="BW9" t="n">
        <v>150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</row>
    <row r="10">
      <c r="A10" t="n">
        <v>220014</v>
      </c>
      <c r="B10">
        <f>_xlfn.XLOOKUP(WeaponStat[[#This Row],[id]],Weapon[[#This Row],[id]],Weapon[[#This Row],['#group_memo]])</f>
        <v/>
      </c>
      <c r="C10">
        <f>_xlfn.XLOOKUP(WeaponStat[[#This Row],[id]],Weapon[[#This Row],[id]],Weapon[[#This Row],['#name_memo]])</f>
        <v/>
      </c>
      <c r="D10" t="n">
        <v>100</v>
      </c>
      <c r="E10" t="n">
        <v>10000</v>
      </c>
      <c r="F10" t="n">
        <v>10000</v>
      </c>
      <c r="G10" t="n">
        <v>10000</v>
      </c>
      <c r="H10" t="n">
        <v>18000</v>
      </c>
      <c r="I10" t="n">
        <v>0</v>
      </c>
      <c r="J10" t="n">
        <v>0</v>
      </c>
      <c r="K10" t="n">
        <v>10000</v>
      </c>
      <c r="L10" t="n">
        <v>0</v>
      </c>
      <c r="M10" t="n">
        <v>100</v>
      </c>
      <c r="N10" t="n">
        <v>20000</v>
      </c>
      <c r="O10" t="n">
        <v>5000</v>
      </c>
      <c r="P10" t="n">
        <v>5000</v>
      </c>
      <c r="Q10" t="n">
        <v>10000</v>
      </c>
      <c r="R10" t="n">
        <v>6</v>
      </c>
      <c r="S10" t="n">
        <v>6</v>
      </c>
      <c r="T10" t="n">
        <v>6</v>
      </c>
      <c r="U10" t="n">
        <v>2000</v>
      </c>
      <c r="V10" t="n">
        <v>2000</v>
      </c>
      <c r="W10" t="n">
        <v>6</v>
      </c>
      <c r="X10" t="n">
        <v>8</v>
      </c>
      <c r="Y10" t="n">
        <v>350</v>
      </c>
      <c r="Z10" t="n">
        <v>10000</v>
      </c>
      <c r="AA10" t="n">
        <v>6000</v>
      </c>
      <c r="AB10" t="n">
        <v>4000</v>
      </c>
      <c r="AC10" t="n">
        <v>3000</v>
      </c>
      <c r="AD10" t="n">
        <v>8000</v>
      </c>
      <c r="AE10" t="n">
        <v>4000</v>
      </c>
      <c r="AF10" t="n">
        <v>5000</v>
      </c>
      <c r="AG10" t="n">
        <v>3000</v>
      </c>
      <c r="AH10" t="n">
        <v>2500</v>
      </c>
      <c r="AI10" t="n">
        <v>2000</v>
      </c>
      <c r="AJ10" t="n">
        <v>4000</v>
      </c>
      <c r="AK10" t="n">
        <v>4000</v>
      </c>
      <c r="AL10" t="n">
        <v>10000</v>
      </c>
      <c r="AM10" t="n">
        <v>10000</v>
      </c>
      <c r="AN10" t="n">
        <v>10000</v>
      </c>
      <c r="AO10" t="n">
        <v>10000</v>
      </c>
      <c r="AP10" t="n">
        <v>10000</v>
      </c>
      <c r="AQ10" t="n">
        <v>10000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500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900</v>
      </c>
      <c r="BS10" t="n">
        <v>0</v>
      </c>
      <c r="BT10" t="n">
        <v>0</v>
      </c>
      <c r="BU10" t="n">
        <v>450</v>
      </c>
      <c r="BV10" t="n">
        <v>0</v>
      </c>
      <c r="BW10" t="n">
        <v>150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</row>
    <row r="11">
      <c r="A11" t="n">
        <v>230011</v>
      </c>
      <c r="B11">
        <f>_xlfn.XLOOKUP(WeaponStat[[#This Row],[id]],Weapon[[#This Row],[id]],Weapon[[#This Row],['#group_memo]])</f>
        <v/>
      </c>
      <c r="C11">
        <f>_xlfn.XLOOKUP(WeaponStat[[#This Row],[id]],Weapon[[#This Row],[id]],Weapon[[#This Row],['#name_memo]])</f>
        <v/>
      </c>
      <c r="D11" t="n">
        <v>15</v>
      </c>
      <c r="E11" t="n">
        <v>17500</v>
      </c>
      <c r="F11" t="n">
        <v>10000</v>
      </c>
      <c r="G11" t="n">
        <v>8500</v>
      </c>
      <c r="H11" t="n">
        <v>7000</v>
      </c>
      <c r="I11" t="n">
        <v>0</v>
      </c>
      <c r="J11" t="n">
        <v>0</v>
      </c>
      <c r="K11" t="n">
        <v>10000</v>
      </c>
      <c r="L11" t="n">
        <v>0</v>
      </c>
      <c r="M11" t="n">
        <v>850</v>
      </c>
      <c r="N11" t="n">
        <v>20000</v>
      </c>
      <c r="O11" t="n">
        <v>1500</v>
      </c>
      <c r="P11" t="n">
        <v>3000</v>
      </c>
      <c r="Q11" t="n">
        <v>4000</v>
      </c>
      <c r="R11" t="n">
        <v>25</v>
      </c>
      <c r="S11" t="n">
        <v>30</v>
      </c>
      <c r="T11" t="n">
        <v>35</v>
      </c>
      <c r="U11" t="n">
        <v>1600</v>
      </c>
      <c r="V11" t="n">
        <v>1600</v>
      </c>
      <c r="W11" t="n">
        <v>9999</v>
      </c>
      <c r="X11" t="n">
        <v>9999</v>
      </c>
      <c r="Y11" t="n">
        <v>430</v>
      </c>
      <c r="Z11" t="n">
        <v>10000</v>
      </c>
      <c r="AA11" t="n">
        <v>6000</v>
      </c>
      <c r="AB11" t="n">
        <v>4000</v>
      </c>
      <c r="AC11" t="n">
        <v>3000</v>
      </c>
      <c r="AD11" t="n">
        <v>8000</v>
      </c>
      <c r="AE11" t="n">
        <v>8000</v>
      </c>
      <c r="AF11" t="n">
        <v>5000</v>
      </c>
      <c r="AG11" t="n">
        <v>3000</v>
      </c>
      <c r="AH11" t="n">
        <v>2500</v>
      </c>
      <c r="AI11" t="n">
        <v>2000</v>
      </c>
      <c r="AJ11" t="n">
        <v>4000</v>
      </c>
      <c r="AK11" t="n">
        <v>4000</v>
      </c>
      <c r="AL11" t="n">
        <v>10000</v>
      </c>
      <c r="AM11" t="n">
        <v>8500</v>
      </c>
      <c r="AN11" t="n">
        <v>8500</v>
      </c>
      <c r="AO11" t="n">
        <v>8500</v>
      </c>
      <c r="AP11" t="n">
        <v>12000</v>
      </c>
      <c r="AQ11" t="n">
        <v>15000</v>
      </c>
      <c r="AR11" t="n">
        <v>35</v>
      </c>
      <c r="AS11" t="n">
        <v>100</v>
      </c>
      <c r="AT11" t="n">
        <v>25</v>
      </c>
      <c r="AU11" t="n">
        <v>1</v>
      </c>
      <c r="AV11" t="n">
        <v>600</v>
      </c>
      <c r="AW11" t="n">
        <v>300</v>
      </c>
      <c r="AX11" t="n">
        <v>600</v>
      </c>
      <c r="AY11" t="n">
        <v>900</v>
      </c>
      <c r="AZ11" t="n">
        <v>1000</v>
      </c>
      <c r="BA11" t="n">
        <v>900</v>
      </c>
      <c r="BB11" t="n">
        <v>7</v>
      </c>
      <c r="BC11" t="n">
        <v>1000</v>
      </c>
      <c r="BD11" t="n">
        <v>500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9000</v>
      </c>
      <c r="BR11" t="n">
        <v>500</v>
      </c>
      <c r="BS11" t="n">
        <v>50</v>
      </c>
      <c r="BT11" t="n">
        <v>15000</v>
      </c>
      <c r="BU11" t="n">
        <v>450</v>
      </c>
      <c r="BV11" t="n">
        <v>0</v>
      </c>
      <c r="BW11" t="n">
        <v>150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</row>
    <row r="12">
      <c r="A12" t="n">
        <v>230012</v>
      </c>
      <c r="B12">
        <f>_xlfn.XLOOKUP(WeaponStat[[#This Row],[id]],Weapon[[#This Row],[id]],Weapon[[#This Row],['#group_memo]])</f>
        <v/>
      </c>
      <c r="C12">
        <f>_xlfn.XLOOKUP(WeaponStat[[#This Row],[id]],Weapon[[#This Row],[id]],Weapon[[#This Row],['#name_memo]])</f>
        <v/>
      </c>
      <c r="D12" t="n">
        <v>234</v>
      </c>
      <c r="E12" t="n">
        <v>15000</v>
      </c>
      <c r="F12" t="n">
        <v>10000</v>
      </c>
      <c r="G12" t="n">
        <v>8500</v>
      </c>
      <c r="H12" t="n">
        <v>7000</v>
      </c>
      <c r="I12" t="n">
        <v>0</v>
      </c>
      <c r="J12" t="n">
        <v>0</v>
      </c>
      <c r="K12" t="n">
        <v>10000</v>
      </c>
      <c r="L12" t="n">
        <v>0</v>
      </c>
      <c r="M12" t="n">
        <v>75</v>
      </c>
      <c r="N12" t="n">
        <v>20000</v>
      </c>
      <c r="O12" t="n">
        <v>5000</v>
      </c>
      <c r="P12" t="n">
        <v>5000</v>
      </c>
      <c r="Q12" t="n">
        <v>10000</v>
      </c>
      <c r="R12" t="n">
        <v>5</v>
      </c>
      <c r="S12" t="n">
        <v>8</v>
      </c>
      <c r="T12" t="n">
        <v>10</v>
      </c>
      <c r="U12" t="n">
        <v>2600</v>
      </c>
      <c r="V12" t="n">
        <v>2600</v>
      </c>
      <c r="W12" t="n">
        <v>9999</v>
      </c>
      <c r="X12" t="n">
        <v>9999</v>
      </c>
      <c r="Y12" t="n">
        <v>400</v>
      </c>
      <c r="Z12" t="n">
        <v>10000</v>
      </c>
      <c r="AA12" t="n">
        <v>6000</v>
      </c>
      <c r="AB12" t="n">
        <v>4000</v>
      </c>
      <c r="AC12" t="n">
        <v>3000</v>
      </c>
      <c r="AD12" t="n">
        <v>8000</v>
      </c>
      <c r="AE12" t="n">
        <v>8000</v>
      </c>
      <c r="AF12" t="n">
        <v>5000</v>
      </c>
      <c r="AG12" t="n">
        <v>3000</v>
      </c>
      <c r="AH12" t="n">
        <v>2500</v>
      </c>
      <c r="AI12" t="n">
        <v>2000</v>
      </c>
      <c r="AJ12" t="n">
        <v>4000</v>
      </c>
      <c r="AK12" t="n">
        <v>4000</v>
      </c>
      <c r="AL12" t="n">
        <v>10000</v>
      </c>
      <c r="AM12" t="n">
        <v>7000</v>
      </c>
      <c r="AN12" t="n">
        <v>1000</v>
      </c>
      <c r="AO12" t="n">
        <v>1000</v>
      </c>
      <c r="AP12" t="n">
        <v>12000</v>
      </c>
      <c r="AQ12" t="n">
        <v>15000</v>
      </c>
      <c r="AR12" t="n">
        <v>2</v>
      </c>
      <c r="AS12" t="n">
        <v>16</v>
      </c>
      <c r="AT12" t="n">
        <v>1</v>
      </c>
      <c r="AU12" t="n">
        <v>1</v>
      </c>
      <c r="AV12" t="n">
        <v>400</v>
      </c>
      <c r="AW12" t="n">
        <v>300</v>
      </c>
      <c r="AX12" t="n">
        <v>600</v>
      </c>
      <c r="AY12" t="n">
        <v>900</v>
      </c>
      <c r="AZ12" t="n">
        <v>1000</v>
      </c>
      <c r="BA12" t="n">
        <v>900</v>
      </c>
      <c r="BB12" t="n">
        <v>1</v>
      </c>
      <c r="BC12" t="n">
        <v>1000</v>
      </c>
      <c r="BD12" t="n">
        <v>500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9000</v>
      </c>
      <c r="BR12" t="n">
        <v>500</v>
      </c>
      <c r="BS12" t="n">
        <v>500</v>
      </c>
      <c r="BT12" t="n">
        <v>15000</v>
      </c>
      <c r="BU12" t="n">
        <v>450</v>
      </c>
      <c r="BV12" t="n">
        <v>0</v>
      </c>
      <c r="BW12" t="n">
        <v>150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</row>
    <row r="13">
      <c r="A13" t="n">
        <v>230013</v>
      </c>
      <c r="B13">
        <f>_xlfn.XLOOKUP(WeaponStat[[#This Row],[id]],Weapon[[#This Row],[id]],Weapon[[#This Row],['#group_memo]])</f>
        <v/>
      </c>
      <c r="C13">
        <f>_xlfn.XLOOKUP(WeaponStat[[#This Row],[id]],Weapon[[#This Row],[id]],Weapon[[#This Row],['#name_memo]])</f>
        <v/>
      </c>
      <c r="D13" t="n">
        <v>24</v>
      </c>
      <c r="E13" t="n">
        <v>15000</v>
      </c>
      <c r="F13" t="n">
        <v>10000</v>
      </c>
      <c r="G13" t="n">
        <v>8500</v>
      </c>
      <c r="H13" t="n">
        <v>10000</v>
      </c>
      <c r="I13" t="n">
        <v>0</v>
      </c>
      <c r="J13" t="n">
        <v>0</v>
      </c>
      <c r="K13" t="n">
        <v>10000</v>
      </c>
      <c r="L13" t="n">
        <v>0</v>
      </c>
      <c r="M13" t="n">
        <v>385</v>
      </c>
      <c r="N13" t="n">
        <v>20000</v>
      </c>
      <c r="O13" t="n">
        <v>3000</v>
      </c>
      <c r="P13" t="n">
        <v>5000</v>
      </c>
      <c r="Q13" t="n">
        <v>2000</v>
      </c>
      <c r="R13" t="n">
        <v>9</v>
      </c>
      <c r="S13" t="n">
        <v>14</v>
      </c>
      <c r="T13" t="n">
        <v>18</v>
      </c>
      <c r="U13" t="n">
        <v>1800</v>
      </c>
      <c r="V13" t="n">
        <v>1800</v>
      </c>
      <c r="W13" t="n">
        <v>9999</v>
      </c>
      <c r="X13" t="n">
        <v>9999</v>
      </c>
      <c r="Y13" t="n">
        <v>470</v>
      </c>
      <c r="Z13" t="n">
        <v>10000</v>
      </c>
      <c r="AA13" t="n">
        <v>6000</v>
      </c>
      <c r="AB13" t="n">
        <v>4000</v>
      </c>
      <c r="AC13" t="n">
        <v>3000</v>
      </c>
      <c r="AD13" t="n">
        <v>8000</v>
      </c>
      <c r="AE13" t="n">
        <v>8000</v>
      </c>
      <c r="AF13" t="n">
        <v>5000</v>
      </c>
      <c r="AG13" t="n">
        <v>3000</v>
      </c>
      <c r="AH13" t="n">
        <v>2500</v>
      </c>
      <c r="AI13" t="n">
        <v>2000</v>
      </c>
      <c r="AJ13" t="n">
        <v>4000</v>
      </c>
      <c r="AK13" t="n">
        <v>4000</v>
      </c>
      <c r="AL13" t="n">
        <v>10000</v>
      </c>
      <c r="AM13" t="n">
        <v>8500</v>
      </c>
      <c r="AN13" t="n">
        <v>8500</v>
      </c>
      <c r="AO13" t="n">
        <v>8500</v>
      </c>
      <c r="AP13" t="n">
        <v>12000</v>
      </c>
      <c r="AQ13" t="n">
        <v>15000</v>
      </c>
      <c r="AR13" t="n">
        <v>17</v>
      </c>
      <c r="AS13" t="n">
        <v>136</v>
      </c>
      <c r="AT13" t="n">
        <v>9</v>
      </c>
      <c r="AU13" t="n">
        <v>2</v>
      </c>
      <c r="AV13" t="n">
        <v>600</v>
      </c>
      <c r="AW13" t="n">
        <v>250</v>
      </c>
      <c r="AX13" t="n">
        <v>600</v>
      </c>
      <c r="AY13" t="n">
        <v>900</v>
      </c>
      <c r="AZ13" t="n">
        <v>1000</v>
      </c>
      <c r="BA13" t="n">
        <v>900</v>
      </c>
      <c r="BB13" t="n">
        <v>2</v>
      </c>
      <c r="BC13" t="n">
        <v>1000</v>
      </c>
      <c r="BD13" t="n">
        <v>500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9000</v>
      </c>
      <c r="BR13" t="n">
        <v>300</v>
      </c>
      <c r="BS13" t="n">
        <v>100</v>
      </c>
      <c r="BT13" t="n">
        <v>15000</v>
      </c>
      <c r="BU13" t="n">
        <v>450</v>
      </c>
      <c r="BV13" t="n">
        <v>0</v>
      </c>
      <c r="BW13" t="n">
        <v>150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</row>
    <row r="14">
      <c r="A14" t="n">
        <v>230014</v>
      </c>
      <c r="B14">
        <f>_xlfn.XLOOKUP(WeaponStat[[#This Row],[id]],Weapon[[#This Row],[id]],Weapon[[#This Row],['#group_memo]])</f>
        <v/>
      </c>
      <c r="C14">
        <f>_xlfn.XLOOKUP(WeaponStat[[#This Row],[id]],Weapon[[#This Row],[id]],Weapon[[#This Row],['#name_memo]])</f>
        <v/>
      </c>
      <c r="D14" t="n">
        <v>25</v>
      </c>
      <c r="E14" t="n">
        <v>10000</v>
      </c>
      <c r="F14" t="n">
        <v>10000</v>
      </c>
      <c r="G14" t="n">
        <v>10000</v>
      </c>
      <c r="H14" t="n">
        <v>10000</v>
      </c>
      <c r="I14" t="n">
        <v>0</v>
      </c>
      <c r="J14" t="n">
        <v>0</v>
      </c>
      <c r="K14" t="n">
        <v>10000</v>
      </c>
      <c r="L14" t="n">
        <v>0</v>
      </c>
      <c r="M14" t="n">
        <v>125</v>
      </c>
      <c r="N14" t="n">
        <v>20000</v>
      </c>
      <c r="O14" t="n">
        <v>5000</v>
      </c>
      <c r="P14" t="n">
        <v>5000</v>
      </c>
      <c r="Q14" t="n">
        <v>10000</v>
      </c>
      <c r="R14" t="n">
        <v>1</v>
      </c>
      <c r="S14" t="n">
        <v>1</v>
      </c>
      <c r="T14" t="n">
        <v>1</v>
      </c>
      <c r="U14" t="n">
        <v>1600</v>
      </c>
      <c r="V14" t="n">
        <v>1600</v>
      </c>
      <c r="W14" t="n">
        <v>1</v>
      </c>
      <c r="X14" t="n">
        <v>1</v>
      </c>
      <c r="Y14" t="n">
        <v>410</v>
      </c>
      <c r="Z14" t="n">
        <v>10000</v>
      </c>
      <c r="AA14" t="n">
        <v>6000</v>
      </c>
      <c r="AB14" t="n">
        <v>4000</v>
      </c>
      <c r="AC14" t="n">
        <v>3000</v>
      </c>
      <c r="AD14" t="n">
        <v>8000</v>
      </c>
      <c r="AE14" t="n">
        <v>8000</v>
      </c>
      <c r="AF14" t="n">
        <v>5000</v>
      </c>
      <c r="AG14" t="n">
        <v>3000</v>
      </c>
      <c r="AH14" t="n">
        <v>2500</v>
      </c>
      <c r="AI14" t="n">
        <v>2000</v>
      </c>
      <c r="AJ14" t="n">
        <v>4000</v>
      </c>
      <c r="AK14" t="n">
        <v>4000</v>
      </c>
      <c r="AL14" t="n">
        <v>10000</v>
      </c>
      <c r="AM14" t="n">
        <v>8500</v>
      </c>
      <c r="AN14" t="n">
        <v>8500</v>
      </c>
      <c r="AO14" t="n">
        <v>8500</v>
      </c>
      <c r="AP14" t="n">
        <v>12000</v>
      </c>
      <c r="AQ14" t="n">
        <v>15000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900</v>
      </c>
      <c r="AZ14" t="n">
        <v>1000</v>
      </c>
      <c r="BA14" t="n">
        <v>900</v>
      </c>
      <c r="BB14" t="n">
        <v>1</v>
      </c>
      <c r="BC14" t="n">
        <v>1000</v>
      </c>
      <c r="BD14" t="n">
        <v>500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500</v>
      </c>
      <c r="BS14" t="n">
        <v>0</v>
      </c>
      <c r="BT14" t="n">
        <v>0</v>
      </c>
      <c r="BU14" t="n">
        <v>0</v>
      </c>
      <c r="BV14" t="n">
        <v>0</v>
      </c>
      <c r="BW14" t="n">
        <v>150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</row>
    <row r="15">
      <c r="A15" t="n">
        <v>230015</v>
      </c>
      <c r="B15">
        <f>_xlfn.XLOOKUP(WeaponStat[[#This Row],[id]],Weapon[[#This Row],[id]],Weapon[[#This Row],['#group_memo]])</f>
        <v/>
      </c>
      <c r="C15">
        <f>_xlfn.XLOOKUP(WeaponStat[[#This Row],[id]],Weapon[[#This Row],[id]],Weapon[[#This Row],['#name_memo]])</f>
        <v/>
      </c>
      <c r="D15" t="n">
        <v>120</v>
      </c>
      <c r="E15" t="n">
        <v>10000</v>
      </c>
      <c r="F15" t="n">
        <v>10000</v>
      </c>
      <c r="G15" t="n">
        <v>10000</v>
      </c>
      <c r="H15" t="n">
        <v>10000</v>
      </c>
      <c r="I15" t="n">
        <v>0</v>
      </c>
      <c r="J15" t="n">
        <v>0</v>
      </c>
      <c r="K15" t="n">
        <v>10000</v>
      </c>
      <c r="L15" t="n">
        <v>0</v>
      </c>
      <c r="M15" t="n">
        <v>180</v>
      </c>
      <c r="N15" t="n">
        <v>20000</v>
      </c>
      <c r="O15" t="n">
        <v>5000</v>
      </c>
      <c r="P15" t="n">
        <v>5000</v>
      </c>
      <c r="Q15" t="n">
        <v>10000</v>
      </c>
      <c r="R15" t="n">
        <v>3</v>
      </c>
      <c r="S15" t="n">
        <v>3</v>
      </c>
      <c r="T15" t="n">
        <v>3</v>
      </c>
      <c r="U15" t="n">
        <v>1600</v>
      </c>
      <c r="V15" t="n">
        <v>1600</v>
      </c>
      <c r="W15" t="n">
        <v>3</v>
      </c>
      <c r="X15" t="n">
        <v>3</v>
      </c>
      <c r="Y15" t="n">
        <v>410</v>
      </c>
      <c r="Z15" t="n">
        <v>10000</v>
      </c>
      <c r="AA15" t="n">
        <v>6000</v>
      </c>
      <c r="AB15" t="n">
        <v>4000</v>
      </c>
      <c r="AC15" t="n">
        <v>3000</v>
      </c>
      <c r="AD15" t="n">
        <v>8000</v>
      </c>
      <c r="AE15" t="n">
        <v>8000</v>
      </c>
      <c r="AF15" t="n">
        <v>5000</v>
      </c>
      <c r="AG15" t="n">
        <v>3000</v>
      </c>
      <c r="AH15" t="n">
        <v>2500</v>
      </c>
      <c r="AI15" t="n">
        <v>2000</v>
      </c>
      <c r="AJ15" t="n">
        <v>4000</v>
      </c>
      <c r="AK15" t="n">
        <v>4000</v>
      </c>
      <c r="AL15" t="n">
        <v>10000</v>
      </c>
      <c r="AM15" t="n">
        <v>8500</v>
      </c>
      <c r="AN15" t="n">
        <v>8500</v>
      </c>
      <c r="AO15" t="n">
        <v>8500</v>
      </c>
      <c r="AP15" t="n">
        <v>12000</v>
      </c>
      <c r="AQ15" t="n">
        <v>15000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900</v>
      </c>
      <c r="AZ15" t="n">
        <v>1000</v>
      </c>
      <c r="BA15" t="n">
        <v>900</v>
      </c>
      <c r="BB15" t="n">
        <v>3</v>
      </c>
      <c r="BC15" t="n">
        <v>1000</v>
      </c>
      <c r="BD15" t="n">
        <v>500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500</v>
      </c>
      <c r="BS15" t="n">
        <v>0</v>
      </c>
      <c r="BT15" t="n">
        <v>0</v>
      </c>
      <c r="BU15" t="n">
        <v>0</v>
      </c>
      <c r="BV15" t="n">
        <v>0</v>
      </c>
      <c r="BW15" t="n">
        <v>150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</row>
    <row r="16" customFormat="1" s="29">
      <c r="A16" s="29" t="n">
        <v>230016</v>
      </c>
      <c r="B16" s="27">
        <f>_xlfn.XLOOKUP(WeaponStat[[#This Row],[id]],Weapon[[#This Row],[id]],Weapon[[#This Row],['#group_memo]])</f>
        <v/>
      </c>
      <c r="C16" s="27">
        <f>_xlfn.XLOOKUP(WeaponStat[[#This Row],[id]],Weapon[[#This Row],[id]],Weapon[[#This Row],['#name_memo]])</f>
        <v/>
      </c>
      <c r="D16" s="29" t="n">
        <v>125</v>
      </c>
      <c r="E16" s="29" t="n">
        <v>10000</v>
      </c>
      <c r="F16" s="29" t="n">
        <v>10000</v>
      </c>
      <c r="G16" s="29" t="n">
        <v>10000</v>
      </c>
      <c r="H16" s="29" t="n">
        <v>10000</v>
      </c>
      <c r="I16" s="29" t="n">
        <v>0</v>
      </c>
      <c r="J16" s="29" t="n">
        <v>0</v>
      </c>
      <c r="K16" s="29" t="n">
        <v>10000</v>
      </c>
      <c r="L16" s="29" t="n">
        <v>0</v>
      </c>
      <c r="M16" s="29" t="n">
        <v>0</v>
      </c>
      <c r="N16" s="29" t="n">
        <v>20000</v>
      </c>
      <c r="O16" s="29" t="n">
        <v>5000</v>
      </c>
      <c r="P16" s="29" t="n">
        <v>5000</v>
      </c>
      <c r="Q16" s="29" t="n">
        <v>10000</v>
      </c>
      <c r="R16" s="29" t="n">
        <v>2</v>
      </c>
      <c r="S16" s="29" t="n">
        <v>2</v>
      </c>
      <c r="T16" s="29" t="n">
        <v>2</v>
      </c>
      <c r="U16" s="29" t="n">
        <v>2400</v>
      </c>
      <c r="V16" s="29" t="n">
        <v>2400</v>
      </c>
      <c r="W16" s="29" t="n">
        <v>2</v>
      </c>
      <c r="X16" s="29" t="n">
        <v>2</v>
      </c>
      <c r="Y16" s="29" t="n">
        <v>410</v>
      </c>
      <c r="Z16" s="29" t="n">
        <v>10000</v>
      </c>
      <c r="AA16" s="29" t="n">
        <v>6000</v>
      </c>
      <c r="AB16" s="29" t="n">
        <v>4000</v>
      </c>
      <c r="AC16" s="29" t="n">
        <v>3000</v>
      </c>
      <c r="AD16" s="29" t="n">
        <v>8000</v>
      </c>
      <c r="AE16" s="29" t="n">
        <v>8000</v>
      </c>
      <c r="AF16" s="29" t="n">
        <v>5000</v>
      </c>
      <c r="AG16" s="29" t="n">
        <v>3000</v>
      </c>
      <c r="AH16" s="29" t="n">
        <v>2500</v>
      </c>
      <c r="AI16" s="29" t="n">
        <v>2000</v>
      </c>
      <c r="AJ16" s="29" t="n">
        <v>4000</v>
      </c>
      <c r="AK16" s="29" t="n">
        <v>4000</v>
      </c>
      <c r="AL16" s="29" t="n">
        <v>10000</v>
      </c>
      <c r="AM16" s="29" t="n">
        <v>10000</v>
      </c>
      <c r="AN16" s="29" t="n">
        <v>10000</v>
      </c>
      <c r="AO16" s="29" t="n">
        <v>10000</v>
      </c>
      <c r="AP16" s="29" t="n">
        <v>10000</v>
      </c>
      <c r="AQ16" s="29" t="n">
        <v>10000</v>
      </c>
      <c r="AR16" s="29" t="n">
        <v>0</v>
      </c>
      <c r="AS16" s="29" t="n">
        <v>0</v>
      </c>
      <c r="AT16" s="29" t="n">
        <v>0</v>
      </c>
      <c r="AU16" s="29" t="n">
        <v>0</v>
      </c>
      <c r="AV16" s="29" t="n">
        <v>0</v>
      </c>
      <c r="AW16" s="29" t="n">
        <v>0</v>
      </c>
      <c r="AX16" s="29" t="n">
        <v>0</v>
      </c>
      <c r="AY16" s="29" t="n">
        <v>0</v>
      </c>
      <c r="AZ16" s="29" t="n">
        <v>0</v>
      </c>
      <c r="BA16" s="29" t="n">
        <v>0</v>
      </c>
      <c r="BB16" s="29" t="n">
        <v>0</v>
      </c>
      <c r="BC16" s="29" t="n">
        <v>0</v>
      </c>
      <c r="BD16" s="29" t="n">
        <v>500</v>
      </c>
      <c r="BE16" s="29" t="n">
        <v>0</v>
      </c>
      <c r="BF16" s="29" t="n">
        <v>0</v>
      </c>
      <c r="BG16" s="29" t="n">
        <v>0</v>
      </c>
      <c r="BH16" s="29" t="n">
        <v>0</v>
      </c>
      <c r="BI16" s="29" t="n">
        <v>0</v>
      </c>
      <c r="BJ16" s="29" t="n">
        <v>0</v>
      </c>
      <c r="BK16" s="29" t="n">
        <v>0</v>
      </c>
      <c r="BL16" s="29" t="n">
        <v>0</v>
      </c>
      <c r="BM16" s="29" t="n">
        <v>0</v>
      </c>
      <c r="BN16" s="29" t="n">
        <v>0</v>
      </c>
      <c r="BO16" s="29" t="n">
        <v>0</v>
      </c>
      <c r="BP16" s="29" t="n">
        <v>0</v>
      </c>
      <c r="BQ16" s="29" t="n">
        <v>0</v>
      </c>
      <c r="BR16" s="29" t="n">
        <v>300</v>
      </c>
      <c r="BS16" s="29" t="n">
        <v>1000</v>
      </c>
      <c r="BT16" s="29" t="n">
        <v>10000</v>
      </c>
      <c r="BU16" s="29" t="n">
        <v>0</v>
      </c>
      <c r="BV16" s="29" t="n">
        <v>0</v>
      </c>
      <c r="BW16" s="29" t="n">
        <v>300</v>
      </c>
      <c r="BX16" s="29" t="n">
        <v>0</v>
      </c>
      <c r="BY16" s="29" t="n">
        <v>0</v>
      </c>
      <c r="BZ16" s="29" t="n">
        <v>0</v>
      </c>
      <c r="CA16" s="29" t="n">
        <v>0</v>
      </c>
      <c r="CB16" s="29" t="n">
        <v>0</v>
      </c>
    </row>
    <row r="17">
      <c r="A17" t="n">
        <v>240011</v>
      </c>
      <c r="B17">
        <f>_xlfn.XLOOKUP(WeaponStat[[#This Row],[id]],Weapon[[#This Row],[id]],Weapon[[#This Row],['#group_memo]])</f>
        <v/>
      </c>
      <c r="C17">
        <f>_xlfn.XLOOKUP(WeaponStat[[#This Row],[id]],Weapon[[#This Row],[id]],Weapon[[#This Row],['#name_memo]])</f>
        <v/>
      </c>
      <c r="D17" t="n">
        <v>15</v>
      </c>
      <c r="E17" t="n">
        <v>15000</v>
      </c>
      <c r="F17" t="n">
        <v>10000</v>
      </c>
      <c r="G17" t="n">
        <v>8500</v>
      </c>
      <c r="H17" t="n">
        <v>10000</v>
      </c>
      <c r="I17" t="n">
        <v>0</v>
      </c>
      <c r="J17" t="n">
        <v>0</v>
      </c>
      <c r="K17" t="n">
        <v>10000</v>
      </c>
      <c r="L17" t="n">
        <v>0</v>
      </c>
      <c r="M17" t="n">
        <v>700</v>
      </c>
      <c r="N17" t="n">
        <v>20000</v>
      </c>
      <c r="O17" t="n">
        <v>5000</v>
      </c>
      <c r="P17" t="n">
        <v>5000</v>
      </c>
      <c r="Q17" t="n">
        <v>10000</v>
      </c>
      <c r="R17" t="n">
        <v>30</v>
      </c>
      <c r="S17" t="n">
        <v>45</v>
      </c>
      <c r="T17" t="n">
        <v>60</v>
      </c>
      <c r="U17" t="n">
        <v>2000</v>
      </c>
      <c r="V17" t="n">
        <v>2000</v>
      </c>
      <c r="W17" t="n">
        <v>9999</v>
      </c>
      <c r="X17" t="n">
        <v>9999</v>
      </c>
      <c r="Y17" t="n">
        <v>410</v>
      </c>
      <c r="Z17" t="n">
        <v>10000</v>
      </c>
      <c r="AA17" t="n">
        <v>6000</v>
      </c>
      <c r="AB17" t="n">
        <v>4000</v>
      </c>
      <c r="AC17" t="n">
        <v>3000</v>
      </c>
      <c r="AD17" t="n">
        <v>8000</v>
      </c>
      <c r="AE17" t="n">
        <v>8000</v>
      </c>
      <c r="AF17" t="n">
        <v>5000</v>
      </c>
      <c r="AG17" t="n">
        <v>3000</v>
      </c>
      <c r="AH17" t="n">
        <v>2500</v>
      </c>
      <c r="AI17" t="n">
        <v>2000</v>
      </c>
      <c r="AJ17" t="n">
        <v>4000</v>
      </c>
      <c r="AK17" t="n">
        <v>4000</v>
      </c>
      <c r="AL17" t="n">
        <v>10000</v>
      </c>
      <c r="AM17" t="n">
        <v>8500</v>
      </c>
      <c r="AN17" t="n">
        <v>8500</v>
      </c>
      <c r="AO17" t="n">
        <v>8500</v>
      </c>
      <c r="AP17" t="n">
        <v>12000</v>
      </c>
      <c r="AQ17" t="n">
        <v>15000</v>
      </c>
      <c r="AR17" t="n">
        <v>15</v>
      </c>
      <c r="AS17" t="n">
        <v>60</v>
      </c>
      <c r="AT17" t="n">
        <v>20</v>
      </c>
      <c r="AU17" t="n">
        <v>1</v>
      </c>
      <c r="AV17" t="n">
        <v>300</v>
      </c>
      <c r="AW17" t="n">
        <v>150</v>
      </c>
      <c r="AX17" t="n">
        <v>100</v>
      </c>
      <c r="AY17" t="n">
        <v>900</v>
      </c>
      <c r="AZ17" t="n">
        <v>1000</v>
      </c>
      <c r="BA17" t="n">
        <v>900</v>
      </c>
      <c r="BB17" t="n">
        <v>4</v>
      </c>
      <c r="BC17" t="n">
        <v>1000</v>
      </c>
      <c r="BD17" t="n">
        <v>500</v>
      </c>
      <c r="BE17" t="n">
        <v>3</v>
      </c>
      <c r="BF17" t="n">
        <v>385</v>
      </c>
      <c r="BG17" t="n">
        <v>0</v>
      </c>
      <c r="BH17" t="n">
        <v>15000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9000</v>
      </c>
      <c r="BR17" t="n">
        <v>500</v>
      </c>
      <c r="BS17" t="n">
        <v>87</v>
      </c>
      <c r="BT17" t="n">
        <v>15000</v>
      </c>
      <c r="BU17" t="n">
        <v>450</v>
      </c>
      <c r="BV17" t="n">
        <v>0</v>
      </c>
      <c r="BW17" t="n">
        <v>150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</row>
    <row r="18">
      <c r="A18" t="n">
        <v>240012</v>
      </c>
      <c r="B18">
        <f>_xlfn.XLOOKUP(WeaponStat[[#This Row],[id]],Weapon[[#This Row],[id]],Weapon[[#This Row],['#group_memo]])</f>
        <v/>
      </c>
      <c r="C18">
        <f>_xlfn.XLOOKUP(WeaponStat[[#This Row],[id]],Weapon[[#This Row],[id]],Weapon[[#This Row],['#name_memo]])</f>
        <v/>
      </c>
      <c r="D18" t="n">
        <v>30</v>
      </c>
      <c r="E18" t="n">
        <v>15000</v>
      </c>
      <c r="F18" t="n">
        <v>10000</v>
      </c>
      <c r="G18" t="n">
        <v>8500</v>
      </c>
      <c r="H18" t="n">
        <v>10000</v>
      </c>
      <c r="I18" t="n">
        <v>0</v>
      </c>
      <c r="J18" t="n">
        <v>0</v>
      </c>
      <c r="K18" t="n">
        <v>10000</v>
      </c>
      <c r="L18" t="n">
        <v>0</v>
      </c>
      <c r="M18" t="n">
        <v>100</v>
      </c>
      <c r="N18" t="n">
        <v>20000</v>
      </c>
      <c r="O18" t="n">
        <v>5000</v>
      </c>
      <c r="P18" t="n">
        <v>5000</v>
      </c>
      <c r="Q18" t="n">
        <v>10000</v>
      </c>
      <c r="R18" t="n">
        <v>20</v>
      </c>
      <c r="S18" t="n">
        <v>30</v>
      </c>
      <c r="T18" t="n">
        <v>40</v>
      </c>
      <c r="U18" t="n">
        <v>2000</v>
      </c>
      <c r="V18" t="n">
        <v>2000</v>
      </c>
      <c r="W18" t="n">
        <v>9999</v>
      </c>
      <c r="X18" t="n">
        <v>9999</v>
      </c>
      <c r="Y18" t="n">
        <v>380</v>
      </c>
      <c r="Z18" t="n">
        <v>10000</v>
      </c>
      <c r="AA18" t="n">
        <v>6000</v>
      </c>
      <c r="AB18" t="n">
        <v>4000</v>
      </c>
      <c r="AC18" t="n">
        <v>3000</v>
      </c>
      <c r="AD18" t="n">
        <v>8000</v>
      </c>
      <c r="AE18" t="n">
        <v>8000</v>
      </c>
      <c r="AF18" t="n">
        <v>5000</v>
      </c>
      <c r="AG18" t="n">
        <v>3000</v>
      </c>
      <c r="AH18" t="n">
        <v>2500</v>
      </c>
      <c r="AI18" t="n">
        <v>2000</v>
      </c>
      <c r="AJ18" t="n">
        <v>4000</v>
      </c>
      <c r="AK18" t="n">
        <v>4000</v>
      </c>
      <c r="AL18" t="n">
        <v>10000</v>
      </c>
      <c r="AM18" t="n">
        <v>7000</v>
      </c>
      <c r="AN18" t="n">
        <v>5000</v>
      </c>
      <c r="AO18" t="n">
        <v>5000</v>
      </c>
      <c r="AP18" t="n">
        <v>12000</v>
      </c>
      <c r="AQ18" t="n">
        <v>15000</v>
      </c>
      <c r="AR18" t="n">
        <v>3</v>
      </c>
      <c r="AS18" t="n">
        <v>24</v>
      </c>
      <c r="AT18" t="n">
        <v>2</v>
      </c>
      <c r="AU18" t="n">
        <v>3</v>
      </c>
      <c r="AV18" t="n">
        <v>600</v>
      </c>
      <c r="AW18" t="n">
        <v>300</v>
      </c>
      <c r="AX18" t="n">
        <v>600</v>
      </c>
      <c r="AY18" t="n">
        <v>900</v>
      </c>
      <c r="AZ18" t="n">
        <v>1000</v>
      </c>
      <c r="BA18" t="n">
        <v>900</v>
      </c>
      <c r="BB18" t="n">
        <v>3</v>
      </c>
      <c r="BC18" t="n">
        <v>1000</v>
      </c>
      <c r="BD18" t="n">
        <v>500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9000</v>
      </c>
      <c r="BR18" t="n">
        <v>500</v>
      </c>
      <c r="BS18" t="n">
        <v>106</v>
      </c>
      <c r="BT18" t="n">
        <v>15000</v>
      </c>
      <c r="BU18" t="n">
        <v>450</v>
      </c>
      <c r="BV18" t="n">
        <v>0</v>
      </c>
      <c r="BW18" t="n">
        <v>150</v>
      </c>
      <c r="BX18" t="n">
        <v>1100</v>
      </c>
      <c r="BY18" t="n">
        <v>2</v>
      </c>
      <c r="BZ18" t="n">
        <v>5000</v>
      </c>
      <c r="CA18" t="n">
        <v>10000</v>
      </c>
      <c r="CB18" t="n">
        <v>10000</v>
      </c>
    </row>
    <row r="19">
      <c r="A19" t="n">
        <v>240013</v>
      </c>
      <c r="B19">
        <f>_xlfn.XLOOKUP(WeaponStat[[#This Row],[id]],Weapon[[#This Row],[id]],Weapon[[#This Row],['#group_memo]])</f>
        <v/>
      </c>
      <c r="C19">
        <f>_xlfn.XLOOKUP(WeaponStat[[#This Row],[id]],Weapon[[#This Row],[id]],Weapon[[#This Row],['#name_memo]])</f>
        <v/>
      </c>
      <c r="D19" t="n">
        <v>0</v>
      </c>
      <c r="E19" t="n">
        <v>10000</v>
      </c>
      <c r="F19" t="n">
        <v>10000</v>
      </c>
      <c r="G19" t="n">
        <v>10000</v>
      </c>
      <c r="H19" t="n">
        <v>10000</v>
      </c>
      <c r="I19" t="n">
        <v>0</v>
      </c>
      <c r="J19" t="n">
        <v>0</v>
      </c>
      <c r="K19" t="n">
        <v>10000</v>
      </c>
      <c r="L19" t="n">
        <v>40</v>
      </c>
      <c r="M19" t="n">
        <v>125</v>
      </c>
      <c r="N19" t="n">
        <v>20000</v>
      </c>
      <c r="O19" t="n">
        <v>2500</v>
      </c>
      <c r="P19" t="n">
        <v>2500</v>
      </c>
      <c r="Q19" t="n">
        <v>10000</v>
      </c>
      <c r="R19" t="n">
        <v>1</v>
      </c>
      <c r="S19" t="n">
        <v>1</v>
      </c>
      <c r="T19" t="n">
        <v>1</v>
      </c>
      <c r="U19" t="n">
        <v>2400</v>
      </c>
      <c r="V19" t="n">
        <v>2400</v>
      </c>
      <c r="W19" t="n">
        <v>8</v>
      </c>
      <c r="X19" t="n">
        <v>8</v>
      </c>
      <c r="Y19" t="n">
        <v>470</v>
      </c>
      <c r="Z19" t="n">
        <v>10000</v>
      </c>
      <c r="AA19" t="n">
        <v>6000</v>
      </c>
      <c r="AB19" t="n">
        <v>4000</v>
      </c>
      <c r="AC19" t="n">
        <v>3000</v>
      </c>
      <c r="AD19" t="n">
        <v>8000</v>
      </c>
      <c r="AE19" t="n">
        <v>8000</v>
      </c>
      <c r="AF19" t="n">
        <v>5000</v>
      </c>
      <c r="AG19" t="n">
        <v>3000</v>
      </c>
      <c r="AH19" t="n">
        <v>2500</v>
      </c>
      <c r="AI19" t="n">
        <v>2000</v>
      </c>
      <c r="AJ19" t="n">
        <v>4000</v>
      </c>
      <c r="AK19" t="n">
        <v>4000</v>
      </c>
      <c r="AL19" t="n">
        <v>10000</v>
      </c>
      <c r="AM19" t="n">
        <v>8500</v>
      </c>
      <c r="AN19" t="n">
        <v>8500</v>
      </c>
      <c r="AO19" t="n">
        <v>8500</v>
      </c>
      <c r="AP19" t="n">
        <v>12000</v>
      </c>
      <c r="AQ19" t="n">
        <v>15000</v>
      </c>
      <c r="AR19" t="n">
        <v>1</v>
      </c>
      <c r="AS19" t="n">
        <v>8</v>
      </c>
      <c r="AT19" t="n">
        <v>1</v>
      </c>
      <c r="AU19" t="n">
        <v>2</v>
      </c>
      <c r="AV19" t="n">
        <v>600</v>
      </c>
      <c r="AW19" t="n">
        <v>250</v>
      </c>
      <c r="AX19" t="n">
        <v>600</v>
      </c>
      <c r="AY19" t="n">
        <v>900</v>
      </c>
      <c r="AZ19" t="n">
        <v>1200</v>
      </c>
      <c r="BA19" t="n">
        <v>900</v>
      </c>
      <c r="BB19" t="n">
        <v>99</v>
      </c>
      <c r="BC19" t="n">
        <v>100</v>
      </c>
      <c r="BD19" t="n">
        <v>500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9000</v>
      </c>
      <c r="BR19" t="n">
        <v>300</v>
      </c>
      <c r="BS19" t="n">
        <v>200</v>
      </c>
      <c r="BT19" t="n">
        <v>15000</v>
      </c>
      <c r="BU19" t="n">
        <v>450</v>
      </c>
      <c r="BV19" t="n">
        <v>100</v>
      </c>
      <c r="BW19" t="n">
        <v>300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</row>
    <row r="20">
      <c r="A20" t="n">
        <v>240014</v>
      </c>
      <c r="B20">
        <f>_xlfn.XLOOKUP(WeaponStat[[#This Row],[id]],Weapon[[#This Row],[id]],Weapon[[#This Row],['#group_memo]])</f>
        <v/>
      </c>
      <c r="C20">
        <f>_xlfn.XLOOKUP(WeaponStat[[#This Row],[id]],Weapon[[#This Row],[id]],Weapon[[#This Row],['#name_memo]])</f>
        <v/>
      </c>
      <c r="D20" t="n">
        <v>0</v>
      </c>
      <c r="E20" t="n">
        <v>10000</v>
      </c>
      <c r="F20" t="n">
        <v>10000</v>
      </c>
      <c r="G20" t="n">
        <v>10000</v>
      </c>
      <c r="H20" t="n">
        <v>10000</v>
      </c>
      <c r="I20" t="n">
        <v>0</v>
      </c>
      <c r="J20" t="n">
        <v>0</v>
      </c>
      <c r="K20" t="n">
        <v>10000</v>
      </c>
      <c r="L20" t="n">
        <v>0</v>
      </c>
      <c r="M20" t="n">
        <v>75</v>
      </c>
      <c r="N20" t="n">
        <v>20000</v>
      </c>
      <c r="O20" t="n">
        <v>2500</v>
      </c>
      <c r="P20" t="n">
        <v>2500</v>
      </c>
      <c r="Q20" t="n">
        <v>10000</v>
      </c>
      <c r="R20" t="n">
        <v>1</v>
      </c>
      <c r="S20" t="n">
        <v>1</v>
      </c>
      <c r="T20" t="n">
        <v>1</v>
      </c>
      <c r="U20" t="n">
        <v>2400</v>
      </c>
      <c r="V20" t="n">
        <v>2400</v>
      </c>
      <c r="W20" t="n">
        <v>1</v>
      </c>
      <c r="X20" t="n">
        <v>1</v>
      </c>
      <c r="Y20" t="n">
        <v>460</v>
      </c>
      <c r="Z20" t="n">
        <v>10000</v>
      </c>
      <c r="AA20" t="n">
        <v>6000</v>
      </c>
      <c r="AB20" t="n">
        <v>4000</v>
      </c>
      <c r="AC20" t="n">
        <v>3000</v>
      </c>
      <c r="AD20" t="n">
        <v>8000</v>
      </c>
      <c r="AE20" t="n">
        <v>8000</v>
      </c>
      <c r="AF20" t="n">
        <v>5000</v>
      </c>
      <c r="AG20" t="n">
        <v>3000</v>
      </c>
      <c r="AH20" t="n">
        <v>2500</v>
      </c>
      <c r="AI20" t="n">
        <v>2000</v>
      </c>
      <c r="AJ20" t="n">
        <v>4000</v>
      </c>
      <c r="AK20" t="n">
        <v>4000</v>
      </c>
      <c r="AL20" t="n">
        <v>10000</v>
      </c>
      <c r="AM20" t="n">
        <v>8500</v>
      </c>
      <c r="AN20" t="n">
        <v>8500</v>
      </c>
      <c r="AO20" t="n">
        <v>8500</v>
      </c>
      <c r="AP20" t="n">
        <v>12000</v>
      </c>
      <c r="AQ20" t="n">
        <v>15000</v>
      </c>
      <c r="AR20" t="n">
        <v>0</v>
      </c>
      <c r="AS20" t="n">
        <v>0</v>
      </c>
      <c r="AT20" t="n">
        <v>1</v>
      </c>
      <c r="AU20" t="n">
        <v>2</v>
      </c>
      <c r="AV20" t="n">
        <v>600</v>
      </c>
      <c r="AW20" t="n">
        <v>250</v>
      </c>
      <c r="AX20" t="n">
        <v>600</v>
      </c>
      <c r="AY20" t="n">
        <v>900</v>
      </c>
      <c r="AZ20" t="n">
        <v>1200</v>
      </c>
      <c r="BA20" t="n">
        <v>900</v>
      </c>
      <c r="BB20" t="n">
        <v>99</v>
      </c>
      <c r="BC20" t="n">
        <v>100</v>
      </c>
      <c r="BD20" t="n">
        <v>500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10000</v>
      </c>
      <c r="BR20" t="n">
        <v>1200</v>
      </c>
      <c r="BS20" t="n">
        <v>200</v>
      </c>
      <c r="BT20" t="n">
        <v>15000</v>
      </c>
      <c r="BU20" t="n">
        <v>450</v>
      </c>
      <c r="BV20" t="n">
        <v>100</v>
      </c>
      <c r="BW20" t="n">
        <v>300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</row>
    <row r="21">
      <c r="A21" t="n">
        <v>240015</v>
      </c>
      <c r="B21">
        <f>_xlfn.XLOOKUP(WeaponStat[[#This Row],[id]],Weapon[[#This Row],[id]],Weapon[[#This Row],['#group_memo]])</f>
        <v/>
      </c>
      <c r="C21">
        <f>_xlfn.XLOOKUP(WeaponStat[[#This Row],[id]],Weapon[[#This Row],[id]],Weapon[[#This Row],['#name_memo]])</f>
        <v/>
      </c>
      <c r="D21" t="n">
        <v>0</v>
      </c>
      <c r="E21" t="n">
        <v>10000</v>
      </c>
      <c r="F21" t="n">
        <v>10000</v>
      </c>
      <c r="G21" t="n">
        <v>10000</v>
      </c>
      <c r="H21" t="n">
        <v>10000</v>
      </c>
      <c r="I21" t="n">
        <v>0</v>
      </c>
      <c r="J21" t="n">
        <v>0</v>
      </c>
      <c r="K21" t="n">
        <v>10000</v>
      </c>
      <c r="L21" t="n">
        <v>0</v>
      </c>
      <c r="M21" t="n">
        <v>75</v>
      </c>
      <c r="N21" t="n">
        <v>20000</v>
      </c>
      <c r="O21" t="n">
        <v>2500</v>
      </c>
      <c r="P21" t="n">
        <v>2500</v>
      </c>
      <c r="Q21" t="n">
        <v>10000</v>
      </c>
      <c r="R21" t="n">
        <v>1</v>
      </c>
      <c r="S21" t="n">
        <v>1</v>
      </c>
      <c r="T21" t="n">
        <v>1</v>
      </c>
      <c r="U21" t="n">
        <v>2400</v>
      </c>
      <c r="V21" t="n">
        <v>2400</v>
      </c>
      <c r="W21" t="n">
        <v>1</v>
      </c>
      <c r="X21" t="n">
        <v>1</v>
      </c>
      <c r="Y21" t="n">
        <v>450</v>
      </c>
      <c r="Z21" t="n">
        <v>10000</v>
      </c>
      <c r="AA21" t="n">
        <v>6000</v>
      </c>
      <c r="AB21" t="n">
        <v>4000</v>
      </c>
      <c r="AC21" t="n">
        <v>3000</v>
      </c>
      <c r="AD21" t="n">
        <v>8000</v>
      </c>
      <c r="AE21" t="n">
        <v>8000</v>
      </c>
      <c r="AF21" t="n">
        <v>5000</v>
      </c>
      <c r="AG21" t="n">
        <v>3000</v>
      </c>
      <c r="AH21" t="n">
        <v>2500</v>
      </c>
      <c r="AI21" t="n">
        <v>2000</v>
      </c>
      <c r="AJ21" t="n">
        <v>4000</v>
      </c>
      <c r="AK21" t="n">
        <v>4000</v>
      </c>
      <c r="AL21" t="n">
        <v>10000</v>
      </c>
      <c r="AM21" t="n">
        <v>8500</v>
      </c>
      <c r="AN21" t="n">
        <v>8500</v>
      </c>
      <c r="AO21" t="n">
        <v>8500</v>
      </c>
      <c r="AP21" t="n">
        <v>12000</v>
      </c>
      <c r="AQ21" t="n">
        <v>15000</v>
      </c>
      <c r="AR21" t="n">
        <v>0</v>
      </c>
      <c r="AS21" t="n">
        <v>0</v>
      </c>
      <c r="AT21" t="n">
        <v>1</v>
      </c>
      <c r="AU21" t="n">
        <v>2</v>
      </c>
      <c r="AV21" t="n">
        <v>600</v>
      </c>
      <c r="AW21" t="n">
        <v>250</v>
      </c>
      <c r="AX21" t="n">
        <v>600</v>
      </c>
      <c r="AY21" t="n">
        <v>900</v>
      </c>
      <c r="AZ21" t="n">
        <v>1200</v>
      </c>
      <c r="BA21" t="n">
        <v>900</v>
      </c>
      <c r="BB21" t="n">
        <v>99</v>
      </c>
      <c r="BC21" t="n">
        <v>100</v>
      </c>
      <c r="BD21" t="n">
        <v>500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10000</v>
      </c>
      <c r="BR21" t="n">
        <v>1200</v>
      </c>
      <c r="BS21" t="n">
        <v>200</v>
      </c>
      <c r="BT21" t="n">
        <v>15000</v>
      </c>
      <c r="BU21" t="n">
        <v>450</v>
      </c>
      <c r="BV21" t="n">
        <v>100</v>
      </c>
      <c r="BW21" t="n">
        <v>300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</row>
    <row r="22">
      <c r="A22" s="27" t="n">
        <v>240016</v>
      </c>
      <c r="B22" s="27">
        <f>_xlfn.XLOOKUP(WeaponStat[[#This Row],[id]],Weapon[[#This Row],[id]],Weapon[[#This Row],['#group_memo]])</f>
        <v/>
      </c>
      <c r="C22" s="27">
        <f>_xlfn.XLOOKUP(WeaponStat[[#This Row],[id]],Weapon[[#This Row],[id]],Weapon[[#This Row],['#name_memo]])</f>
        <v/>
      </c>
      <c r="D22" s="27" t="n">
        <v>0</v>
      </c>
      <c r="E22" s="27" t="n">
        <v>10000</v>
      </c>
      <c r="F22" s="27" t="n">
        <v>10000</v>
      </c>
      <c r="G22" s="27" t="n">
        <v>10000</v>
      </c>
      <c r="H22" s="27" t="n">
        <v>10000</v>
      </c>
      <c r="I22" s="27" t="n">
        <v>0</v>
      </c>
      <c r="J22" s="27" t="n">
        <v>0</v>
      </c>
      <c r="K22" s="27" t="n">
        <v>10000</v>
      </c>
      <c r="L22" s="27" t="n">
        <v>0</v>
      </c>
      <c r="M22" s="27" t="n">
        <v>125</v>
      </c>
      <c r="N22" s="27" t="n">
        <v>20000</v>
      </c>
      <c r="O22" s="27" t="n">
        <v>2500</v>
      </c>
      <c r="P22" s="27" t="n">
        <v>2500</v>
      </c>
      <c r="Q22" s="27" t="n">
        <v>10000</v>
      </c>
      <c r="R22" s="27" t="n">
        <v>1</v>
      </c>
      <c r="S22" s="27" t="n">
        <v>1</v>
      </c>
      <c r="T22" s="27" t="n">
        <v>1</v>
      </c>
      <c r="U22" s="27" t="n">
        <v>2400</v>
      </c>
      <c r="V22" s="27" t="n">
        <v>2400</v>
      </c>
      <c r="W22" s="27" t="n">
        <v>1</v>
      </c>
      <c r="X22" s="27" t="n">
        <v>1</v>
      </c>
      <c r="Y22" s="27" t="n">
        <v>440</v>
      </c>
      <c r="Z22" s="27" t="n">
        <v>10000</v>
      </c>
      <c r="AA22" s="27" t="n">
        <v>6000</v>
      </c>
      <c r="AB22" s="27" t="n">
        <v>4000</v>
      </c>
      <c r="AC22" s="27" t="n">
        <v>3000</v>
      </c>
      <c r="AD22" s="27" t="n">
        <v>8000</v>
      </c>
      <c r="AE22" s="27" t="n">
        <v>8000</v>
      </c>
      <c r="AF22" s="27" t="n">
        <v>5000</v>
      </c>
      <c r="AG22" s="27" t="n">
        <v>3000</v>
      </c>
      <c r="AH22" s="27" t="n">
        <v>2500</v>
      </c>
      <c r="AI22" s="27" t="n">
        <v>2000</v>
      </c>
      <c r="AJ22" s="27" t="n">
        <v>4000</v>
      </c>
      <c r="AK22" s="27" t="n">
        <v>4000</v>
      </c>
      <c r="AL22" s="27" t="n">
        <v>10000</v>
      </c>
      <c r="AM22" s="27" t="n">
        <v>8500</v>
      </c>
      <c r="AN22" s="27" t="n">
        <v>8500</v>
      </c>
      <c r="AO22" s="27" t="n">
        <v>8500</v>
      </c>
      <c r="AP22" s="27" t="n">
        <v>12000</v>
      </c>
      <c r="AQ22" s="27" t="n">
        <v>15000</v>
      </c>
      <c r="AR22" s="27" t="n">
        <v>0</v>
      </c>
      <c r="AS22" s="27" t="n">
        <v>0</v>
      </c>
      <c r="AT22" s="27" t="n">
        <v>0</v>
      </c>
      <c r="AU22" s="27" t="n">
        <v>0</v>
      </c>
      <c r="AV22" s="27" t="n">
        <v>0</v>
      </c>
      <c r="AW22" s="27" t="n">
        <v>0</v>
      </c>
      <c r="AX22" s="27" t="n">
        <v>0</v>
      </c>
      <c r="AY22" s="27" t="n">
        <v>0</v>
      </c>
      <c r="AZ22" s="27" t="n">
        <v>0</v>
      </c>
      <c r="BA22" s="27" t="n">
        <v>0</v>
      </c>
      <c r="BB22" s="27" t="n">
        <v>0</v>
      </c>
      <c r="BC22" s="27" t="n">
        <v>0</v>
      </c>
      <c r="BD22" s="27" t="n">
        <v>0</v>
      </c>
      <c r="BE22" s="27" t="n">
        <v>0</v>
      </c>
      <c r="BF22" s="27" t="n">
        <v>0</v>
      </c>
      <c r="BG22" s="27" t="n">
        <v>0</v>
      </c>
      <c r="BH22" s="27" t="n">
        <v>0</v>
      </c>
      <c r="BI22" s="27" t="n">
        <v>0</v>
      </c>
      <c r="BJ22" s="27" t="n">
        <v>0</v>
      </c>
      <c r="BK22" s="27" t="n">
        <v>0</v>
      </c>
      <c r="BL22" s="27" t="n">
        <v>0</v>
      </c>
      <c r="BM22" s="27" t="n">
        <v>0</v>
      </c>
      <c r="BN22" s="27" t="n">
        <v>0</v>
      </c>
      <c r="BO22" s="27" t="n">
        <v>0</v>
      </c>
      <c r="BP22" s="27" t="n">
        <v>0</v>
      </c>
      <c r="BQ22" s="27" t="n">
        <v>9000</v>
      </c>
      <c r="BR22" s="27" t="n">
        <v>300</v>
      </c>
      <c r="BS22" s="27" t="n">
        <v>0</v>
      </c>
      <c r="BT22" s="27" t="n">
        <v>0</v>
      </c>
      <c r="BU22" s="27" t="n">
        <v>0</v>
      </c>
      <c r="BV22" s="27" t="n">
        <v>0</v>
      </c>
      <c r="BW22" s="27" t="n">
        <v>0</v>
      </c>
      <c r="BX22" s="27" t="n">
        <v>0</v>
      </c>
      <c r="BY22" s="27" t="n">
        <v>0</v>
      </c>
      <c r="BZ22" s="27" t="n">
        <v>0</v>
      </c>
      <c r="CA22" s="27" t="n">
        <v>0</v>
      </c>
      <c r="CB22" s="27" t="n">
        <v>0</v>
      </c>
    </row>
  </sheetData>
  <conditionalFormatting sqref="A2:X2 AH2:AO2 AQ2:AX2 BE2:BH2 BG3:BG9">
    <cfRule type="containsText" priority="3" operator="containsText" dxfId="0" text="#">
      <formula>NOT(ISERROR(SEARCH("#",A2)))</formula>
    </cfRule>
  </conditionalFormatting>
  <conditionalFormatting sqref="Y2:AF2">
    <cfRule type="containsText" priority="2" operator="containsText" dxfId="0" text="#">
      <formula>NOT(ISERROR(SEARCH("#",Y2)))</formula>
    </cfRule>
  </conditionalFormatting>
  <pageMargins left="0.7" right="0.7" top="0.75" bottom="0.75" header="0.3" footer="0.3"/>
  <pageSetup orientation="portrait" paperSize="9" verticalDpi="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zoomScale="85" workbookViewId="0">
      <selection activeCell="A3" sqref="A3"/>
    </sheetView>
  </sheetViews>
  <sheetFormatPr baseColWidth="8" defaultRowHeight="16.5"/>
  <cols>
    <col width="11" bestFit="1" customWidth="1" min="1" max="1"/>
    <col width="23" bestFit="1" customWidth="1" min="2" max="2"/>
    <col width="13.875" bestFit="1" customWidth="1" min="3" max="3"/>
    <col width="15.25" bestFit="1" customWidth="1" min="4" max="4"/>
    <col width="20.375" bestFit="1" customWidth="1" min="5" max="5"/>
    <col width="27.5" bestFit="1" customWidth="1" min="6" max="6"/>
    <col width="29.125" bestFit="1" customWidth="1" min="7" max="7"/>
    <col width="11.625" bestFit="1" customWidth="1" min="8" max="8"/>
    <col width="14.75" bestFit="1" customWidth="1" min="9" max="9"/>
    <col width="19.125" bestFit="1" customWidth="1" min="10" max="10"/>
    <col width="22.375" bestFit="1" customWidth="1" min="11" max="11"/>
    <col width="25.375" bestFit="1" customWidth="1" min="12" max="12"/>
    <col width="31.75" bestFit="1" customWidth="1" min="13" max="13"/>
    <col width="32.375" bestFit="1" customWidth="1" min="14" max="14"/>
    <col width="30" bestFit="1" customWidth="1" min="15" max="15"/>
  </cols>
  <sheetData>
    <row r="1">
      <c r="A1" t="inlineStr">
        <is>
          <t>DataGroup</t>
        </is>
      </c>
      <c r="B1" t="inlineStr">
        <is>
          <t>WeaponSelfStat</t>
        </is>
      </c>
    </row>
    <row r="2">
      <c r="A2" t="inlineStr">
        <is>
          <t>id</t>
        </is>
      </c>
      <c r="B2" s="1" t="inlineStr">
        <is>
          <t>#weapon_self_memo</t>
        </is>
      </c>
      <c r="C2" t="inlineStr">
        <is>
          <t>max_health</t>
        </is>
      </c>
      <c r="D2" t="inlineStr">
        <is>
          <t>health_regen</t>
        </is>
      </c>
      <c r="E2" t="inlineStr">
        <is>
          <t>max_innate_shield</t>
        </is>
      </c>
      <c r="F2" t="inlineStr">
        <is>
          <t>innate_shield_regen_draw</t>
        </is>
      </c>
      <c r="G2" t="inlineStr">
        <is>
          <t>innate_shield_regen_sheath</t>
        </is>
      </c>
      <c r="H2" t="inlineStr">
        <is>
          <t>heal_rate</t>
        </is>
      </c>
      <c r="I2" t="inlineStr">
        <is>
          <t>heal_by_rate</t>
        </is>
      </c>
      <c r="J2" t="inlineStr">
        <is>
          <t>temp_shield_rate</t>
        </is>
      </c>
      <c r="K2" t="inlineStr">
        <is>
          <t>temp_shield_by_rate</t>
        </is>
      </c>
      <c r="L2" t="inlineStr">
        <is>
          <t>damage_reduction_rate</t>
        </is>
      </c>
      <c r="M2" t="inlineStr">
        <is>
          <t>bullet_damage_reduction_rate</t>
        </is>
      </c>
      <c r="N2" t="inlineStr">
        <is>
          <t>splash_damage_reduction_rate</t>
        </is>
      </c>
      <c r="O2" t="inlineStr">
        <is>
          <t>skill_damage_reduction_rate</t>
        </is>
      </c>
    </row>
    <row r="3">
      <c r="A3" t="n">
        <v>210014</v>
      </c>
      <c r="B3" t="inlineStr">
        <is>
          <t>뱅가드_전술방패</t>
        </is>
      </c>
      <c r="C3" t="n">
        <v>0</v>
      </c>
      <c r="D3" t="n">
        <v>0</v>
      </c>
      <c r="E3" t="n">
        <v>800</v>
      </c>
      <c r="F3" t="n">
        <v>0</v>
      </c>
      <c r="G3" t="n">
        <v>160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9"/>
  <sheetViews>
    <sheetView topLeftCell="A40" workbookViewId="0">
      <selection activeCell="D63" sqref="D63"/>
    </sheetView>
  </sheetViews>
  <sheetFormatPr baseColWidth="8" defaultRowHeight="16.5"/>
  <cols>
    <col width="15.625" bestFit="1" customWidth="1" min="1" max="1"/>
    <col width="18.875" bestFit="1" customWidth="1" min="2" max="2"/>
    <col width="15.375" bestFit="1" customWidth="1" min="3" max="3"/>
    <col width="31.875" bestFit="1" customWidth="1" min="4" max="4"/>
  </cols>
  <sheetData>
    <row r="1">
      <c r="A1" t="inlineStr">
        <is>
          <t>DataGroup</t>
        </is>
      </c>
      <c r="B1" t="inlineStr">
        <is>
          <t>WeaponStatDisplay</t>
        </is>
      </c>
    </row>
    <row r="2">
      <c r="A2" t="inlineStr">
        <is>
          <t>weapon_type</t>
        </is>
      </c>
      <c r="B2" s="1" t="inlineStr">
        <is>
          <t>#name_memo</t>
        </is>
      </c>
      <c r="C2" t="inlineStr">
        <is>
          <t>ui_sort_order</t>
        </is>
      </c>
      <c r="D2" t="inlineStr">
        <is>
          <t>stat_type</t>
        </is>
      </c>
    </row>
    <row r="3">
      <c r="A3" t="inlineStr">
        <is>
          <t>HG</t>
        </is>
      </c>
      <c r="B3" t="inlineStr">
        <is>
          <t>피해량</t>
        </is>
      </c>
      <c r="C3" t="n">
        <v>1</v>
      </c>
      <c r="D3" t="inlineStr">
        <is>
          <t>DamageBase</t>
        </is>
      </c>
    </row>
    <row r="4">
      <c r="A4" t="inlineStr">
        <is>
          <t>HG</t>
        </is>
      </c>
      <c r="B4" t="inlineStr">
        <is>
          <t>연사력</t>
        </is>
      </c>
      <c r="C4" t="n">
        <v>2</v>
      </c>
      <c r="D4" t="inlineStr">
        <is>
          <t>FireRate</t>
        </is>
      </c>
    </row>
    <row r="5">
      <c r="A5" t="inlineStr">
        <is>
          <t>HG</t>
        </is>
      </c>
      <c r="B5" t="inlineStr">
        <is>
          <t>장탄량</t>
        </is>
      </c>
      <c r="C5" t="n">
        <v>3</v>
      </c>
      <c r="D5" t="inlineStr">
        <is>
          <t>MagCapacity1</t>
        </is>
      </c>
    </row>
    <row r="6">
      <c r="A6" t="inlineStr">
        <is>
          <t>HG</t>
        </is>
      </c>
      <c r="B6" t="inlineStr">
        <is>
          <t>보호막 피해율</t>
        </is>
      </c>
      <c r="C6" t="n">
        <v>4</v>
      </c>
      <c r="D6" t="inlineStr">
        <is>
          <t>DamageShieldModifier</t>
        </is>
      </c>
    </row>
    <row r="7">
      <c r="A7" t="inlineStr">
        <is>
          <t>HG</t>
        </is>
      </c>
      <c r="B7" t="inlineStr">
        <is>
          <t>헤드샷 배율</t>
        </is>
      </c>
      <c r="C7" t="n">
        <v>5</v>
      </c>
      <c r="D7" t="inlineStr">
        <is>
          <t>DamageHeadModifier</t>
        </is>
      </c>
    </row>
    <row r="8">
      <c r="A8" t="inlineStr">
        <is>
          <t>HG</t>
        </is>
      </c>
      <c r="B8" t="inlineStr">
        <is>
          <t>재장전 시간</t>
        </is>
      </c>
      <c r="C8" t="n">
        <v>6</v>
      </c>
      <c r="D8" t="inlineStr">
        <is>
          <t>ReloadTime</t>
        </is>
      </c>
    </row>
    <row r="9">
      <c r="A9" t="inlineStr">
        <is>
          <t>HG</t>
        </is>
      </c>
      <c r="B9" t="inlineStr">
        <is>
          <t>유효 사거리</t>
        </is>
      </c>
      <c r="C9" t="n">
        <v>7</v>
      </c>
      <c r="D9" t="inlineStr">
        <is>
          <t>DamageFalloffStartDistance</t>
        </is>
      </c>
    </row>
    <row r="10">
      <c r="A10" t="inlineStr">
        <is>
          <t>HG</t>
        </is>
      </c>
      <c r="B10" t="inlineStr">
        <is>
          <t>정확도</t>
        </is>
      </c>
      <c r="C10" t="n">
        <v>8</v>
      </c>
      <c r="D10" t="inlineStr">
        <is>
          <t>MoaMax</t>
        </is>
      </c>
    </row>
    <row r="11">
      <c r="A11" t="inlineStr">
        <is>
          <t>AR</t>
        </is>
      </c>
      <c r="B11" t="inlineStr">
        <is>
          <t>피해량</t>
        </is>
      </c>
      <c r="C11" t="n">
        <v>1</v>
      </c>
      <c r="D11" t="inlineStr">
        <is>
          <t>DamageBase</t>
        </is>
      </c>
    </row>
    <row r="12">
      <c r="A12" t="inlineStr">
        <is>
          <t>AR</t>
        </is>
      </c>
      <c r="B12" t="inlineStr">
        <is>
          <t>연사력</t>
        </is>
      </c>
      <c r="C12" t="n">
        <v>2</v>
      </c>
      <c r="D12" t="inlineStr">
        <is>
          <t>FireRate</t>
        </is>
      </c>
    </row>
    <row r="13">
      <c r="A13" t="inlineStr">
        <is>
          <t>AR</t>
        </is>
      </c>
      <c r="B13" t="inlineStr">
        <is>
          <t>장탄량</t>
        </is>
      </c>
      <c r="C13" t="n">
        <v>3</v>
      </c>
      <c r="D13" t="inlineStr">
        <is>
          <t>MagCapacity1</t>
        </is>
      </c>
    </row>
    <row r="14">
      <c r="A14" t="inlineStr">
        <is>
          <t>AR</t>
        </is>
      </c>
      <c r="B14" t="inlineStr">
        <is>
          <t>보호막 피해율</t>
        </is>
      </c>
      <c r="C14" t="n">
        <v>4</v>
      </c>
      <c r="D14" t="inlineStr">
        <is>
          <t>DamageShieldModifier</t>
        </is>
      </c>
    </row>
    <row r="15">
      <c r="A15" t="inlineStr">
        <is>
          <t>AR</t>
        </is>
      </c>
      <c r="B15" t="inlineStr">
        <is>
          <t>헤드샷 배율</t>
        </is>
      </c>
      <c r="C15" t="n">
        <v>5</v>
      </c>
      <c r="D15" t="inlineStr">
        <is>
          <t>DamageHeadModifier</t>
        </is>
      </c>
    </row>
    <row r="16">
      <c r="A16" t="inlineStr">
        <is>
          <t>AR</t>
        </is>
      </c>
      <c r="B16" t="inlineStr">
        <is>
          <t>재장전 시간</t>
        </is>
      </c>
      <c r="C16" t="n">
        <v>6</v>
      </c>
      <c r="D16" t="inlineStr">
        <is>
          <t>ReloadTime</t>
        </is>
      </c>
    </row>
    <row r="17">
      <c r="A17" t="inlineStr">
        <is>
          <t>AR</t>
        </is>
      </c>
      <c r="B17" t="inlineStr">
        <is>
          <t>유효 사거리</t>
        </is>
      </c>
      <c r="C17" t="n">
        <v>7</v>
      </c>
      <c r="D17" t="inlineStr">
        <is>
          <t>DamageFalloffStartDistance</t>
        </is>
      </c>
    </row>
    <row r="18">
      <c r="A18" t="inlineStr">
        <is>
          <t>AR</t>
        </is>
      </c>
      <c r="B18" t="inlineStr">
        <is>
          <t>정확도</t>
        </is>
      </c>
      <c r="C18" t="n">
        <v>8</v>
      </c>
      <c r="D18" t="inlineStr">
        <is>
          <t>MoaMax</t>
        </is>
      </c>
    </row>
    <row r="19">
      <c r="A19" t="inlineStr">
        <is>
          <t>SMG</t>
        </is>
      </c>
      <c r="B19" t="inlineStr">
        <is>
          <t>피해량</t>
        </is>
      </c>
      <c r="C19" t="n">
        <v>1</v>
      </c>
      <c r="D19" t="inlineStr">
        <is>
          <t>DamageBase</t>
        </is>
      </c>
    </row>
    <row r="20">
      <c r="A20" t="inlineStr">
        <is>
          <t>SMG</t>
        </is>
      </c>
      <c r="B20" t="inlineStr">
        <is>
          <t>연사력</t>
        </is>
      </c>
      <c r="C20" t="n">
        <v>2</v>
      </c>
      <c r="D20" t="inlineStr">
        <is>
          <t>FireRate</t>
        </is>
      </c>
    </row>
    <row r="21">
      <c r="A21" t="inlineStr">
        <is>
          <t>SMG</t>
        </is>
      </c>
      <c r="B21" t="inlineStr">
        <is>
          <t>장탄량</t>
        </is>
      </c>
      <c r="C21" t="n">
        <v>3</v>
      </c>
      <c r="D21" t="inlineStr">
        <is>
          <t>MagCapacity1</t>
        </is>
      </c>
    </row>
    <row r="22">
      <c r="A22" t="inlineStr">
        <is>
          <t>SMG</t>
        </is>
      </c>
      <c r="B22" t="inlineStr">
        <is>
          <t>보호막 피해율</t>
        </is>
      </c>
      <c r="C22" t="n">
        <v>4</v>
      </c>
      <c r="D22" t="inlineStr">
        <is>
          <t>DamageShieldModifier</t>
        </is>
      </c>
    </row>
    <row r="23">
      <c r="A23" t="inlineStr">
        <is>
          <t>SMG</t>
        </is>
      </c>
      <c r="B23" t="inlineStr">
        <is>
          <t>헤드샷 배율</t>
        </is>
      </c>
      <c r="C23" t="n">
        <v>5</v>
      </c>
      <c r="D23" t="inlineStr">
        <is>
          <t>DamageHeadModifier</t>
        </is>
      </c>
    </row>
    <row r="24">
      <c r="A24" t="inlineStr">
        <is>
          <t>SMG</t>
        </is>
      </c>
      <c r="B24" t="inlineStr">
        <is>
          <t>재장전 시간</t>
        </is>
      </c>
      <c r="C24" t="n">
        <v>6</v>
      </c>
      <c r="D24" t="inlineStr">
        <is>
          <t>ReloadTime</t>
        </is>
      </c>
    </row>
    <row r="25">
      <c r="A25" t="inlineStr">
        <is>
          <t>SMG</t>
        </is>
      </c>
      <c r="B25" t="inlineStr">
        <is>
          <t>유효 사거리</t>
        </is>
      </c>
      <c r="C25" t="n">
        <v>7</v>
      </c>
      <c r="D25" t="inlineStr">
        <is>
          <t>DamageFalloffStartDistance</t>
        </is>
      </c>
    </row>
    <row r="26">
      <c r="A26" t="inlineStr">
        <is>
          <t>SMG</t>
        </is>
      </c>
      <c r="B26" t="inlineStr">
        <is>
          <t>정확도</t>
        </is>
      </c>
      <c r="C26" t="n">
        <v>8</v>
      </c>
      <c r="D26" t="inlineStr">
        <is>
          <t>MoaMax</t>
        </is>
      </c>
    </row>
    <row r="27">
      <c r="A27" t="inlineStr">
        <is>
          <t>LMG</t>
        </is>
      </c>
      <c r="B27" t="inlineStr">
        <is>
          <t>피해량</t>
        </is>
      </c>
      <c r="C27" t="n">
        <v>1</v>
      </c>
      <c r="D27" t="inlineStr">
        <is>
          <t>DamageBase</t>
        </is>
      </c>
    </row>
    <row r="28">
      <c r="A28" t="inlineStr">
        <is>
          <t>LMG</t>
        </is>
      </c>
      <c r="B28" t="inlineStr">
        <is>
          <t>연사력</t>
        </is>
      </c>
      <c r="C28" t="n">
        <v>2</v>
      </c>
      <c r="D28" t="inlineStr">
        <is>
          <t>FireRate</t>
        </is>
      </c>
    </row>
    <row r="29">
      <c r="A29" t="inlineStr">
        <is>
          <t>LMG</t>
        </is>
      </c>
      <c r="B29" t="inlineStr">
        <is>
          <t>장탄량</t>
        </is>
      </c>
      <c r="C29" t="n">
        <v>3</v>
      </c>
      <c r="D29" t="inlineStr">
        <is>
          <t>MagCapacity1</t>
        </is>
      </c>
    </row>
    <row r="30">
      <c r="A30" t="inlineStr">
        <is>
          <t>LMG</t>
        </is>
      </c>
      <c r="B30" t="inlineStr">
        <is>
          <t>보호막 피해율</t>
        </is>
      </c>
      <c r="C30" t="n">
        <v>4</v>
      </c>
      <c r="D30" t="inlineStr">
        <is>
          <t>DamageShieldModifier</t>
        </is>
      </c>
    </row>
    <row r="31">
      <c r="A31" t="inlineStr">
        <is>
          <t>LMG</t>
        </is>
      </c>
      <c r="B31" t="inlineStr">
        <is>
          <t>헤드샷 배율</t>
        </is>
      </c>
      <c r="C31" t="n">
        <v>5</v>
      </c>
      <c r="D31" t="inlineStr">
        <is>
          <t>DamageHeadModifier</t>
        </is>
      </c>
    </row>
    <row r="32">
      <c r="A32" t="inlineStr">
        <is>
          <t>LMG</t>
        </is>
      </c>
      <c r="B32" t="inlineStr">
        <is>
          <t>재장전 시간</t>
        </is>
      </c>
      <c r="C32" t="n">
        <v>6</v>
      </c>
      <c r="D32" t="inlineStr">
        <is>
          <t>ReloadTime</t>
        </is>
      </c>
    </row>
    <row r="33">
      <c r="A33" t="inlineStr">
        <is>
          <t>LMG</t>
        </is>
      </c>
      <c r="B33" t="inlineStr">
        <is>
          <t>유효 사거리</t>
        </is>
      </c>
      <c r="C33" t="n">
        <v>7</v>
      </c>
      <c r="D33" t="inlineStr">
        <is>
          <t>DamageFalloffStartDistance</t>
        </is>
      </c>
    </row>
    <row r="34">
      <c r="A34" t="inlineStr">
        <is>
          <t>LMG</t>
        </is>
      </c>
      <c r="B34" t="inlineStr">
        <is>
          <t>정확도</t>
        </is>
      </c>
      <c r="C34" t="n">
        <v>8</v>
      </c>
      <c r="D34" t="inlineStr">
        <is>
          <t>MoaMax</t>
        </is>
      </c>
    </row>
    <row r="35">
      <c r="A35" t="inlineStr">
        <is>
          <t>SG</t>
        </is>
      </c>
      <c r="B35" t="inlineStr">
        <is>
          <t>피해량</t>
        </is>
      </c>
      <c r="C35" t="n">
        <v>1</v>
      </c>
      <c r="D35" t="inlineStr">
        <is>
          <t>DamageBase</t>
        </is>
      </c>
    </row>
    <row r="36">
      <c r="A36" t="inlineStr">
        <is>
          <t>SG</t>
        </is>
      </c>
      <c r="B36" t="inlineStr">
        <is>
          <t>연사력</t>
        </is>
      </c>
      <c r="C36" t="n">
        <v>2</v>
      </c>
      <c r="D36" t="inlineStr">
        <is>
          <t>FireRate</t>
        </is>
      </c>
    </row>
    <row r="37">
      <c r="A37" t="inlineStr">
        <is>
          <t>SG</t>
        </is>
      </c>
      <c r="B37" t="inlineStr">
        <is>
          <t>장탄량</t>
        </is>
      </c>
      <c r="C37" t="n">
        <v>3</v>
      </c>
      <c r="D37" t="inlineStr">
        <is>
          <t>MagCapacity1</t>
        </is>
      </c>
    </row>
    <row r="38">
      <c r="A38" t="inlineStr">
        <is>
          <t>SG</t>
        </is>
      </c>
      <c r="B38" t="inlineStr">
        <is>
          <t>보호막 피해율</t>
        </is>
      </c>
      <c r="C38" t="n">
        <v>4</v>
      </c>
      <c r="D38" t="inlineStr">
        <is>
          <t>DamageShieldModifier</t>
        </is>
      </c>
    </row>
    <row r="39">
      <c r="A39" t="inlineStr">
        <is>
          <t>SG</t>
        </is>
      </c>
      <c r="B39" t="inlineStr">
        <is>
          <t>헤드샷 배율</t>
        </is>
      </c>
      <c r="C39" t="n">
        <v>5</v>
      </c>
      <c r="D39" t="inlineStr">
        <is>
          <t>DamageHeadModifier</t>
        </is>
      </c>
    </row>
    <row r="40">
      <c r="A40" t="inlineStr">
        <is>
          <t>SG</t>
        </is>
      </c>
      <c r="B40" t="inlineStr">
        <is>
          <t>재장전 시간</t>
        </is>
      </c>
      <c r="C40" t="n">
        <v>6</v>
      </c>
      <c r="D40" t="inlineStr">
        <is>
          <t>ReloadTime</t>
        </is>
      </c>
    </row>
    <row r="41">
      <c r="A41" t="inlineStr">
        <is>
          <t>SG</t>
        </is>
      </c>
      <c r="B41" t="inlineStr">
        <is>
          <t>유효 사거리</t>
        </is>
      </c>
      <c r="C41" t="n">
        <v>7</v>
      </c>
      <c r="D41" t="inlineStr">
        <is>
          <t>DamageFalloffStartDistance</t>
        </is>
      </c>
    </row>
    <row r="42">
      <c r="A42" t="inlineStr">
        <is>
          <t>SG</t>
        </is>
      </c>
      <c r="B42" t="inlineStr">
        <is>
          <t>산탄 수</t>
        </is>
      </c>
      <c r="C42" t="n">
        <v>8</v>
      </c>
      <c r="D42" t="inlineStr">
        <is>
          <t>PelletCount</t>
        </is>
      </c>
    </row>
    <row r="43">
      <c r="A43" t="inlineStr">
        <is>
          <t>SR</t>
        </is>
      </c>
      <c r="B43" t="inlineStr">
        <is>
          <t>피해량</t>
        </is>
      </c>
      <c r="C43" t="n">
        <v>1</v>
      </c>
      <c r="D43" t="inlineStr">
        <is>
          <t>DamageBase</t>
        </is>
      </c>
    </row>
    <row r="44">
      <c r="A44" t="inlineStr">
        <is>
          <t>SR</t>
        </is>
      </c>
      <c r="B44" t="inlineStr">
        <is>
          <t>연사력</t>
        </is>
      </c>
      <c r="C44" t="n">
        <v>2</v>
      </c>
      <c r="D44" t="inlineStr">
        <is>
          <t>FireRate</t>
        </is>
      </c>
    </row>
    <row r="45">
      <c r="A45" t="inlineStr">
        <is>
          <t>SR</t>
        </is>
      </c>
      <c r="B45" t="inlineStr">
        <is>
          <t>장탄량</t>
        </is>
      </c>
      <c r="C45" t="n">
        <v>3</v>
      </c>
      <c r="D45" t="inlineStr">
        <is>
          <t>MagCapacity1</t>
        </is>
      </c>
    </row>
    <row r="46">
      <c r="A46" t="inlineStr">
        <is>
          <t>SR</t>
        </is>
      </c>
      <c r="B46" t="inlineStr">
        <is>
          <t>보호막 피해율</t>
        </is>
      </c>
      <c r="C46" t="n">
        <v>4</v>
      </c>
      <c r="D46" t="inlineStr">
        <is>
          <t>DamageShieldModifier</t>
        </is>
      </c>
    </row>
    <row r="47">
      <c r="A47" t="inlineStr">
        <is>
          <t>SR</t>
        </is>
      </c>
      <c r="B47" t="inlineStr">
        <is>
          <t>헤드샷 배율</t>
        </is>
      </c>
      <c r="C47" t="n">
        <v>5</v>
      </c>
      <c r="D47" t="inlineStr">
        <is>
          <t>DamageHeadModifier</t>
        </is>
      </c>
    </row>
    <row r="48">
      <c r="A48" t="inlineStr">
        <is>
          <t>SR</t>
        </is>
      </c>
      <c r="B48" t="inlineStr">
        <is>
          <t>재장전 시간</t>
        </is>
      </c>
      <c r="C48" t="n">
        <v>6</v>
      </c>
      <c r="D48" t="inlineStr">
        <is>
          <t>ReloadTime</t>
        </is>
      </c>
    </row>
    <row r="49">
      <c r="A49" t="inlineStr">
        <is>
          <t>SR</t>
        </is>
      </c>
      <c r="B49" t="inlineStr">
        <is>
          <t>유효 사거리</t>
        </is>
      </c>
      <c r="C49" t="n">
        <v>7</v>
      </c>
      <c r="D49" t="inlineStr">
        <is>
          <t>DamageFalloffStartDistance</t>
        </is>
      </c>
    </row>
    <row r="50">
      <c r="A50" t="inlineStr">
        <is>
          <t>DMR</t>
        </is>
      </c>
      <c r="B50" t="inlineStr">
        <is>
          <t>피해량</t>
        </is>
      </c>
      <c r="C50" t="n">
        <v>1</v>
      </c>
      <c r="D50" t="inlineStr">
        <is>
          <t>DamageBase</t>
        </is>
      </c>
    </row>
    <row r="51">
      <c r="A51" t="inlineStr">
        <is>
          <t>DMR</t>
        </is>
      </c>
      <c r="B51" t="inlineStr">
        <is>
          <t>연사력</t>
        </is>
      </c>
      <c r="C51" t="n">
        <v>2</v>
      </c>
      <c r="D51" t="inlineStr">
        <is>
          <t>FireRate</t>
        </is>
      </c>
    </row>
    <row r="52">
      <c r="A52" t="inlineStr">
        <is>
          <t>DMR</t>
        </is>
      </c>
      <c r="B52" t="inlineStr">
        <is>
          <t>장탄량</t>
        </is>
      </c>
      <c r="C52" t="n">
        <v>3</v>
      </c>
      <c r="D52" t="inlineStr">
        <is>
          <t>MagCapacity1</t>
        </is>
      </c>
    </row>
    <row r="53">
      <c r="A53" t="inlineStr">
        <is>
          <t>DMR</t>
        </is>
      </c>
      <c r="B53" t="inlineStr">
        <is>
          <t>보호막 피해율</t>
        </is>
      </c>
      <c r="C53" t="n">
        <v>4</v>
      </c>
      <c r="D53" t="inlineStr">
        <is>
          <t>DamageShieldModifier</t>
        </is>
      </c>
    </row>
    <row r="54">
      <c r="A54" t="inlineStr">
        <is>
          <t>DMR</t>
        </is>
      </c>
      <c r="B54" t="inlineStr">
        <is>
          <t>헤드샷 배율</t>
        </is>
      </c>
      <c r="C54" t="n">
        <v>5</v>
      </c>
      <c r="D54" t="inlineStr">
        <is>
          <t>DamageHeadModifier</t>
        </is>
      </c>
    </row>
    <row r="55">
      <c r="A55" t="inlineStr">
        <is>
          <t>DMR</t>
        </is>
      </c>
      <c r="B55" t="inlineStr">
        <is>
          <t>재장전 시간</t>
        </is>
      </c>
      <c r="C55" t="n">
        <v>6</v>
      </c>
      <c r="D55" t="inlineStr">
        <is>
          <t>ReloadTime</t>
        </is>
      </c>
    </row>
    <row r="56">
      <c r="A56" t="inlineStr">
        <is>
          <t>DMR</t>
        </is>
      </c>
      <c r="B56" t="inlineStr">
        <is>
          <t>유효 사거리</t>
        </is>
      </c>
      <c r="C56" t="n">
        <v>7</v>
      </c>
      <c r="D56" t="inlineStr">
        <is>
          <t>DamageFalloffStartDistance</t>
        </is>
      </c>
    </row>
    <row r="57">
      <c r="A57" t="inlineStr">
        <is>
          <t>DMR</t>
        </is>
      </c>
      <c r="B57" t="inlineStr">
        <is>
          <t>정확도</t>
        </is>
      </c>
      <c r="C57" t="n">
        <v>8</v>
      </c>
      <c r="D57" t="inlineStr">
        <is>
          <t>MoaMax</t>
        </is>
      </c>
    </row>
    <row r="58">
      <c r="A58" t="inlineStr">
        <is>
          <t>Special</t>
        </is>
      </c>
      <c r="B58" t="inlineStr">
        <is>
          <t>치유량</t>
        </is>
      </c>
      <c r="C58" t="n">
        <v>1</v>
      </c>
      <c r="D58" t="inlineStr">
        <is>
          <t>HealBase</t>
        </is>
      </c>
    </row>
    <row r="59">
      <c r="A59" t="inlineStr">
        <is>
          <t>Special</t>
        </is>
      </c>
      <c r="B59" t="inlineStr">
        <is>
          <t>연사력</t>
        </is>
      </c>
      <c r="C59" t="n">
        <v>2</v>
      </c>
      <c r="D59" t="inlineStr">
        <is>
          <t>FireRate</t>
        </is>
      </c>
    </row>
    <row r="60">
      <c r="A60" t="inlineStr">
        <is>
          <t>Special</t>
        </is>
      </c>
      <c r="B60" t="inlineStr">
        <is>
          <t>장탄량</t>
        </is>
      </c>
      <c r="C60" t="n">
        <v>3</v>
      </c>
      <c r="D60" t="inlineStr">
        <is>
          <t>MagCapacity1</t>
        </is>
      </c>
    </row>
    <row r="61">
      <c r="A61" t="inlineStr">
        <is>
          <t>Special</t>
        </is>
      </c>
      <c r="B61" t="inlineStr">
        <is>
          <t>정확도</t>
        </is>
      </c>
      <c r="C61" t="n">
        <v>4</v>
      </c>
      <c r="D61" t="inlineStr">
        <is>
          <t>MoaMax</t>
        </is>
      </c>
    </row>
    <row r="62" ht="16.5" customHeight="1">
      <c r="A62" t="inlineStr">
        <is>
          <t>PreCharge</t>
        </is>
      </c>
      <c r="B62" t="inlineStr">
        <is>
          <t>피해량</t>
        </is>
      </c>
      <c r="C62" t="n">
        <v>1</v>
      </c>
      <c r="D62" t="inlineStr">
        <is>
          <t>DamageBase</t>
        </is>
      </c>
    </row>
    <row r="63" ht="16.5" customHeight="1">
      <c r="A63" t="inlineStr">
        <is>
          <t>PreCharge</t>
        </is>
      </c>
      <c r="B63" t="inlineStr">
        <is>
          <t>장탄량</t>
        </is>
      </c>
      <c r="C63" t="n">
        <v>2</v>
      </c>
      <c r="D63" t="inlineStr">
        <is>
          <t>MagCapacity1</t>
        </is>
      </c>
    </row>
    <row r="64" ht="16.5" customHeight="1">
      <c r="A64" t="inlineStr">
        <is>
          <t>PreCharge</t>
        </is>
      </c>
      <c r="B64" t="inlineStr">
        <is>
          <t>보호막 피해율</t>
        </is>
      </c>
      <c r="C64" t="n">
        <v>3</v>
      </c>
      <c r="D64" t="inlineStr">
        <is>
          <t>DamageShieldModifier</t>
        </is>
      </c>
    </row>
    <row r="65" ht="16.5" customHeight="1">
      <c r="A65" t="inlineStr">
        <is>
          <t>PreCharge</t>
        </is>
      </c>
      <c r="B65" t="inlineStr">
        <is>
          <t>헤드샷 배율</t>
        </is>
      </c>
      <c r="C65" t="n">
        <v>4</v>
      </c>
      <c r="D65" t="inlineStr">
        <is>
          <t>DamageHeadModifier</t>
        </is>
      </c>
    </row>
    <row r="66" ht="16.5" customHeight="1">
      <c r="A66" t="inlineStr">
        <is>
          <t>PreCharge</t>
        </is>
      </c>
      <c r="B66" t="inlineStr">
        <is>
          <t>최대 충전 소요 시간</t>
        </is>
      </c>
      <c r="C66" t="n">
        <v>5</v>
      </c>
      <c r="D66" t="inlineStr">
        <is>
          <t>ChargeMaxTime</t>
        </is>
      </c>
    </row>
    <row r="67" ht="16.5" customHeight="1">
      <c r="A67" t="inlineStr">
        <is>
          <t>PreCharge</t>
        </is>
      </c>
      <c r="B67" t="inlineStr">
        <is>
          <t>충전 단계</t>
        </is>
      </c>
      <c r="C67" t="n">
        <v>6</v>
      </c>
      <c r="D67" t="inlineStr">
        <is>
          <t>ChargeTier</t>
        </is>
      </c>
    </row>
    <row r="68" ht="16.5" customHeight="1">
      <c r="A68" t="inlineStr">
        <is>
          <t>PreCharge</t>
        </is>
      </c>
      <c r="B68" t="inlineStr">
        <is>
          <t>충전 단계 당 피해증가</t>
        </is>
      </c>
      <c r="C68" t="n">
        <v>7</v>
      </c>
      <c r="D68" t="inlineStr">
        <is>
          <t>ChargeDamageModifierPerTier</t>
        </is>
      </c>
    </row>
    <row r="69" ht="16.5" customHeight="1">
      <c r="A69" t="inlineStr">
        <is>
          <t>PreCharge</t>
        </is>
      </c>
      <c r="B69" t="inlineStr">
        <is>
          <t>최대 충전시 피해증가</t>
        </is>
      </c>
      <c r="C69" t="n">
        <v>8</v>
      </c>
      <c r="D69" t="inlineStr">
        <is>
          <t>ChargeDamageModifierMax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theme="0" tint="-0.04989776299325541"/>
    <outlinePr summaryBelow="1" summaryRight="1"/>
    <pageSetUpPr/>
  </sheetPr>
  <dimension ref="A1:AC22"/>
  <sheetViews>
    <sheetView workbookViewId="0">
      <pane xSplit="3" ySplit="7" topLeftCell="L8" activePane="bottomRight" state="frozen"/>
      <selection pane="topRight" activeCell="D1" sqref="D1"/>
      <selection pane="bottomLeft" activeCell="A6" sqref="A6"/>
      <selection pane="bottomRight" activeCell="S20" sqref="S20"/>
    </sheetView>
  </sheetViews>
  <sheetFormatPr baseColWidth="8" defaultRowHeight="16.5"/>
  <cols>
    <col width="12.875" customWidth="1" min="1" max="1"/>
    <col width="17.125" bestFit="1" customWidth="1" min="2" max="2"/>
    <col width="35.25" bestFit="1" customWidth="1" min="3" max="3"/>
    <col width="13.875" bestFit="1" customWidth="1" min="4" max="4"/>
    <col width="13.25" customWidth="1" min="5" max="5"/>
    <col width="12.625" bestFit="1" customWidth="1" min="8" max="8"/>
    <col width="14.375" bestFit="1" customWidth="1" min="9" max="9"/>
    <col outlineLevel="1" width="9" customWidth="1" min="10" max="10"/>
    <col outlineLevel="1" width="15" customWidth="1" min="11" max="11"/>
    <col outlineLevel="1" width="9" customWidth="1" min="12" max="16"/>
    <col outlineLevel="1" width="10.875" customWidth="1" min="17" max="17"/>
    <col outlineLevel="1" width="9" customWidth="1" min="18" max="18"/>
    <col width="9" customWidth="1" min="19" max="19"/>
    <col width="17.875" bestFit="1" customWidth="1" min="20" max="20"/>
    <col width="15.875" bestFit="1" customWidth="1" min="21" max="21"/>
    <col width="14.25" bestFit="1" customWidth="1" min="22" max="22"/>
    <col width="20.625" bestFit="1" customWidth="1" min="25" max="25"/>
  </cols>
  <sheetData>
    <row r="1">
      <c r="A1" s="6" t="inlineStr">
        <is>
          <t>shield</t>
        </is>
      </c>
      <c r="B1" s="8" t="n">
        <v>200</v>
      </c>
      <c r="C1" s="34" t="inlineStr">
        <is>
          <t>스트라이커 1명을 죽일 때
필요한 사격 수 &amp; TTK 와
그때 N% 비율의 궁극기를 채우기 위해
필요한 발 당 명중시 에너지 획득량</t>
        </is>
      </c>
    </row>
    <row r="2">
      <c r="A2" s="6" t="inlineStr">
        <is>
          <t>HP</t>
        </is>
      </c>
      <c r="B2" s="8" t="n">
        <v>250</v>
      </c>
      <c r="C2" s="35" t="n"/>
    </row>
    <row r="3">
      <c r="A3" s="6" t="inlineStr">
        <is>
          <t>G-MAX</t>
        </is>
      </c>
      <c r="B3" s="8" t="n">
        <v>12000</v>
      </c>
      <c r="C3" s="35" t="n"/>
    </row>
    <row r="4">
      <c r="A4" s="11" t="inlineStr">
        <is>
          <t>Kill_to_max_rate</t>
        </is>
      </c>
      <c r="B4" s="16" t="n">
        <v>0.12</v>
      </c>
      <c r="C4" s="35" t="n"/>
    </row>
    <row r="5">
      <c r="A5" s="11" t="inlineStr">
        <is>
          <t>heal_weapon</t>
        </is>
      </c>
      <c r="B5" s="16" t="n">
        <v>0.01</v>
      </c>
      <c r="C5" s="36" t="n"/>
      <c r="F5" s="31" t="inlineStr">
        <is>
          <t>노란색 셀은 직접 입력</t>
        </is>
      </c>
      <c r="G5" s="32" t="n"/>
      <c r="H5" s="32" t="n"/>
      <c r="I5" s="33" t="n"/>
    </row>
    <row r="6">
      <c r="I6" t="inlineStr">
        <is>
          <t>펠렛 명중률 가정치</t>
        </is>
      </c>
      <c r="U6" s="20" t="inlineStr">
        <is>
          <t>1탄창으로 죽이는 비율</t>
        </is>
      </c>
    </row>
    <row r="7">
      <c r="A7" s="5" t="inlineStr">
        <is>
          <t>id</t>
        </is>
      </c>
      <c r="B7" s="6" t="inlineStr">
        <is>
          <t>#group_memo</t>
        </is>
      </c>
      <c r="C7" s="6" t="inlineStr">
        <is>
          <t>#name_memo</t>
        </is>
      </c>
      <c r="D7" s="6" t="inlineStr">
        <is>
          <t>damage_base</t>
        </is>
      </c>
      <c r="E7" s="6" t="inlineStr">
        <is>
          <t>damage_shield_modifier</t>
        </is>
      </c>
      <c r="F7" s="6" t="inlineStr">
        <is>
          <t>fire_rate</t>
        </is>
      </c>
      <c r="G7" s="6" t="inlineStr">
        <is>
          <t>mag_capacity_1</t>
        </is>
      </c>
      <c r="H7" s="6" t="inlineStr">
        <is>
          <t>pellet_count</t>
        </is>
      </c>
      <c r="I7" s="9" t="inlineStr">
        <is>
          <t>pellet_hit_rate</t>
        </is>
      </c>
      <c r="K7" s="11" t="inlineStr">
        <is>
          <t>need_to_shield</t>
        </is>
      </c>
      <c r="L7" s="11" t="inlineStr">
        <is>
          <t>RoundUP</t>
        </is>
      </c>
      <c r="N7" s="11" t="inlineStr">
        <is>
          <t>left_count</t>
        </is>
      </c>
      <c r="O7" s="11" t="inlineStr">
        <is>
          <t>left_to_hp</t>
        </is>
      </c>
      <c r="Q7" s="11" t="inlineStr">
        <is>
          <t>neet_to_hp</t>
        </is>
      </c>
      <c r="R7" s="11" t="inlineStr">
        <is>
          <t>RoundUP</t>
        </is>
      </c>
      <c r="T7" s="11" t="inlineStr">
        <is>
          <t>sum_count_to_kill</t>
        </is>
      </c>
      <c r="U7" s="19" t="inlineStr">
        <is>
          <t>mag1_coverage</t>
        </is>
      </c>
      <c r="V7" s="19" t="inlineStr">
        <is>
          <t>TTK</t>
        </is>
      </c>
      <c r="W7" s="19" t="inlineStr">
        <is>
          <t>TTK_Rank</t>
        </is>
      </c>
      <c r="Y7" s="11" t="inlineStr">
        <is>
          <t>sum_count_to_EGain</t>
        </is>
      </c>
    </row>
    <row r="8">
      <c r="A8" s="7">
        <f>WeaponStat!A3</f>
        <v/>
      </c>
      <c r="B8" s="7">
        <f>WeaponStat!B3</f>
        <v/>
      </c>
      <c r="C8" s="7">
        <f>WeaponStat!C3</f>
        <v/>
      </c>
      <c r="D8">
        <f>_xlfn.XLOOKUP(A8,WeaponStat[id],WeaponStat[damage_base],,0)</f>
        <v/>
      </c>
      <c r="E8">
        <f>_xlfn.XLOOKUP(A8,WeaponStat[id],WeaponStat[damage_shield_modifier],,0)</f>
        <v/>
      </c>
      <c r="F8">
        <f>_xlfn.XLOOKUP(A8,WeaponStat[id],WeaponStat[fire_rate],,0)</f>
        <v/>
      </c>
      <c r="G8">
        <f>_xlfn.XLOOKUP(A8,WeaponStat[id],WeaponStat[mag_capacity_1],,0)</f>
        <v/>
      </c>
      <c r="H8" s="4">
        <f>WeaponStat!BI3</f>
        <v/>
      </c>
      <c r="I8" s="17" t="n">
        <v>0.8</v>
      </c>
      <c r="K8" s="38">
        <f>$B$1/((D8*H8*I8)*(E8/10000))</f>
        <v/>
      </c>
      <c r="L8">
        <f>ROUNDUP(K8,0)</f>
        <v/>
      </c>
      <c r="N8" s="38">
        <f>MOD(K8,1)</f>
        <v/>
      </c>
      <c r="O8" s="13">
        <f>N8*(D8*H8*I8)</f>
        <v/>
      </c>
      <c r="Q8" s="13">
        <f>($B$2-O8)/((D8*H8*I8)*(E8/10000))</f>
        <v/>
      </c>
      <c r="R8" s="12">
        <f>ROUNDUP(Q8,0)</f>
        <v/>
      </c>
      <c r="T8" s="12">
        <f>Q8+K8</f>
        <v/>
      </c>
      <c r="U8" s="39">
        <f>IFERROR(IF(G8&gt;0,G8/T8,0),0)</f>
        <v/>
      </c>
      <c r="V8" s="13">
        <f>IFERROR((60/F8)*T8,0)</f>
        <v/>
      </c>
      <c r="W8" s="2">
        <f>_xlfn.LET(_xlpm.x,$V$8:$V$22,COUNT(_xlpm.x)-_xlfn.RANK.EQ(V8,_xlpm.x))</f>
        <v/>
      </c>
      <c r="Y8" s="18">
        <f>IFERROR(ROUNDUP($B$3/(T8*(H8*I8)/$B$4),0),$B$5*$B$3)</f>
        <v/>
      </c>
      <c r="AA8" t="n">
        <v>42</v>
      </c>
      <c r="AC8" s="22">
        <f>Y8/AA8-1</f>
        <v/>
      </c>
    </row>
    <row r="9">
      <c r="A9" s="7">
        <f>WeaponStat!A4</f>
        <v/>
      </c>
      <c r="B9" s="7">
        <f>WeaponStat!B4</f>
        <v/>
      </c>
      <c r="C9" s="7">
        <f>WeaponStat!C4</f>
        <v/>
      </c>
      <c r="D9">
        <f>_xlfn.XLOOKUP(A9,WeaponStat[id],WeaponStat[damage_base],,0)</f>
        <v/>
      </c>
      <c r="E9">
        <f>_xlfn.XLOOKUP(A9,WeaponStat[id],WeaponStat[damage_shield_modifier],,0)</f>
        <v/>
      </c>
      <c r="F9">
        <f>_xlfn.XLOOKUP(A9,WeaponStat[id],WeaponStat[fire_rate],,0)</f>
        <v/>
      </c>
      <c r="G9">
        <f>_xlfn.XLOOKUP(A9,WeaponStat[id],WeaponStat[mag_capacity_1],,0)</f>
        <v/>
      </c>
      <c r="H9" t="n">
        <v>1</v>
      </c>
      <c r="I9" s="10" t="n">
        <v>1</v>
      </c>
      <c r="K9" s="38">
        <f>$B$1/((D9*H9*I9)*(E9/10000))</f>
        <v/>
      </c>
      <c r="L9">
        <f>ROUNDUP(K9,0)</f>
        <v/>
      </c>
      <c r="N9" s="38">
        <f>MOD(K9,1)</f>
        <v/>
      </c>
      <c r="O9" s="13">
        <f>N9*(D9*H9*I9)</f>
        <v/>
      </c>
      <c r="Q9" s="13">
        <f>($B$2-O9)/((D9*H9*I9)*(E9/10000))</f>
        <v/>
      </c>
      <c r="R9" s="12">
        <f>ROUNDUP(Q9,0)</f>
        <v/>
      </c>
      <c r="T9" s="12">
        <f>Q9+K9</f>
        <v/>
      </c>
      <c r="U9" s="39">
        <f>IFERROR(IF(G9&gt;0,G9/T9,0),0)</f>
        <v/>
      </c>
      <c r="V9" s="13">
        <f>IFERROR((60/F9)*T9,0)</f>
        <v/>
      </c>
      <c r="W9" s="2">
        <f>_xlfn.LET(_xlpm.x,$V$8:$V$22,COUNT(_xlpm.x)-_xlfn.RANK.EQ(V9,_xlpm.x))</f>
        <v/>
      </c>
      <c r="Y9" s="18">
        <f>IFERROR(ROUNDUP($B$3/(T9*(H9*I9)/$B$4),0),$B$5*$B$3)</f>
        <v/>
      </c>
      <c r="AA9" t="n">
        <v>87</v>
      </c>
      <c r="AC9" s="22">
        <f>Y9/AA9-1</f>
        <v/>
      </c>
    </row>
    <row r="10">
      <c r="A10" s="7">
        <f>WeaponStat!A5</f>
        <v/>
      </c>
      <c r="B10" s="7">
        <f>WeaponStat!B5</f>
        <v/>
      </c>
      <c r="C10" s="7">
        <f>WeaponStat!C5</f>
        <v/>
      </c>
      <c r="D10">
        <f>_xlfn.XLOOKUP(A10,WeaponStat[id],WeaponStat[damage_base],,0)</f>
        <v/>
      </c>
      <c r="E10">
        <f>_xlfn.XLOOKUP(A10,WeaponStat[id],WeaponStat[damage_shield_modifier],,0)</f>
        <v/>
      </c>
      <c r="F10">
        <f>_xlfn.XLOOKUP(A10,WeaponStat[id],WeaponStat[fire_rate],,0)</f>
        <v/>
      </c>
      <c r="G10">
        <f>_xlfn.XLOOKUP(A10,WeaponStat[id],WeaponStat[mag_capacity_1],,0)</f>
        <v/>
      </c>
      <c r="H10" t="n">
        <v>1</v>
      </c>
      <c r="I10" s="10" t="n">
        <v>1</v>
      </c>
      <c r="K10" s="38">
        <f>$B$1/((D10*H10*I10)*(E10/10000))</f>
        <v/>
      </c>
      <c r="L10">
        <f>ROUNDUP(K10,0)</f>
        <v/>
      </c>
      <c r="N10" s="38">
        <f>MOD(K10,1)</f>
        <v/>
      </c>
      <c r="O10" s="13">
        <f>N10*(D10*H10*I10)</f>
        <v/>
      </c>
      <c r="Q10" s="13">
        <f>($B$2-O10)/((D10*H10*I10)*(E10/10000))</f>
        <v/>
      </c>
      <c r="R10" s="12">
        <f>ROUNDUP(Q10,0)</f>
        <v/>
      </c>
      <c r="T10" s="12">
        <f>Q10+K10</f>
        <v/>
      </c>
      <c r="U10" s="39">
        <f>IFERROR(IF(G10&gt;0,G10/T10,0),0)</f>
        <v/>
      </c>
      <c r="V10" s="13">
        <f>IFERROR((60/F10)*T10,0)</f>
        <v/>
      </c>
      <c r="W10" s="2">
        <f>_xlfn.LET(_xlpm.x,$V$8:$V$22,COUNT(_xlpm.x)-_xlfn.RANK.EQ(V10,_xlpm.x))</f>
        <v/>
      </c>
      <c r="Y10" s="18">
        <f>IFERROR(ROUNDUP($B$3/(T10*(H10*I10)/$B$4),0),$B$5*$B$3)</f>
        <v/>
      </c>
      <c r="AA10" t="n">
        <v>63</v>
      </c>
      <c r="AC10" s="22">
        <f>Y10/AA10-1</f>
        <v/>
      </c>
    </row>
    <row r="11">
      <c r="A11" s="7">
        <f>WeaponStat!A7</f>
        <v/>
      </c>
      <c r="B11" s="7">
        <f>WeaponStat!B7</f>
        <v/>
      </c>
      <c r="C11" s="7">
        <f>WeaponStat!C7</f>
        <v/>
      </c>
      <c r="D11">
        <f>_xlfn.XLOOKUP(A11,WeaponStat[id],WeaponStat[damage_base],,0)</f>
        <v/>
      </c>
      <c r="E11">
        <f>_xlfn.XLOOKUP(A11,WeaponStat[id],WeaponStat[damage_shield_modifier],,0)</f>
        <v/>
      </c>
      <c r="F11">
        <f>_xlfn.XLOOKUP(A11,WeaponStat[id],WeaponStat[fire_rate],,0)</f>
        <v/>
      </c>
      <c r="G11">
        <f>_xlfn.XLOOKUP(A11,WeaponStat[id],WeaponStat[mag_capacity_1],,0)</f>
        <v/>
      </c>
      <c r="H11" t="n">
        <v>1</v>
      </c>
      <c r="I11" s="10" t="n">
        <v>1</v>
      </c>
      <c r="K11" s="38">
        <f>$B$1/((D11*H11*I11)*(E11/10000))</f>
        <v/>
      </c>
      <c r="L11">
        <f>ROUNDUP(K11,0)</f>
        <v/>
      </c>
      <c r="N11" s="38">
        <f>MOD(K11,1)</f>
        <v/>
      </c>
      <c r="O11" s="13">
        <f>N11*(D11*H11*I11)</f>
        <v/>
      </c>
      <c r="Q11" s="13">
        <f>($B$2-O11)/((D11*H11*I11)*(E11/10000))</f>
        <v/>
      </c>
      <c r="R11" s="12">
        <f>ROUNDUP(Q11,0)</f>
        <v/>
      </c>
      <c r="T11" s="12">
        <f>Q11+K11</f>
        <v/>
      </c>
      <c r="U11" s="39">
        <f>IFERROR(IF(G11&gt;0,G11/T11,0),0)</f>
        <v/>
      </c>
      <c r="V11" s="13">
        <f>IFERROR((60/F11)*T11,0)</f>
        <v/>
      </c>
      <c r="W11" s="2">
        <f>_xlfn.LET(_xlpm.x,$V$8:$V$22,COUNT(_xlpm.x)-_xlfn.RANK.EQ(V11,_xlpm.x))</f>
        <v/>
      </c>
      <c r="Y11" s="18">
        <f>IFERROR(ROUNDUP($B$3/(T11*(H11*I11)/$B$4),0),$B$5*$B$3)</f>
        <v/>
      </c>
      <c r="AA11" t="n">
        <v>87</v>
      </c>
      <c r="AC11" s="22">
        <f>Y11/AA11-1</f>
        <v/>
      </c>
    </row>
    <row r="12">
      <c r="A12" s="7">
        <f>WeaponStat!A8</f>
        <v/>
      </c>
      <c r="B12" s="7">
        <f>WeaponStat!B8</f>
        <v/>
      </c>
      <c r="C12" s="7">
        <f>WeaponStat!C8</f>
        <v/>
      </c>
      <c r="D12">
        <f>_xlfn.XLOOKUP(A12,WeaponStat[id],WeaponStat[damage_base],,0)</f>
        <v/>
      </c>
      <c r="E12">
        <f>_xlfn.XLOOKUP(A12,WeaponStat[id],WeaponStat[damage_shield_modifier],,0)</f>
        <v/>
      </c>
      <c r="F12">
        <f>_xlfn.XLOOKUP(A12,WeaponStat[id],WeaponStat[fire_rate],,0)</f>
        <v/>
      </c>
      <c r="G12">
        <f>_xlfn.XLOOKUP(A12,WeaponStat[id],WeaponStat[mag_capacity_1],,0)</f>
        <v/>
      </c>
      <c r="H12" t="n">
        <v>1</v>
      </c>
      <c r="I12" s="10" t="n">
        <v>1</v>
      </c>
      <c r="K12" s="38">
        <f>$B$1/((D12*H12*I12)*(E12/10000))</f>
        <v/>
      </c>
      <c r="L12">
        <f>ROUNDUP(K12,0)</f>
        <v/>
      </c>
      <c r="N12" s="38">
        <f>MOD(K12,1)</f>
        <v/>
      </c>
      <c r="O12" s="13">
        <f>N12*(D12*H12*I12)</f>
        <v/>
      </c>
      <c r="Q12" s="13">
        <f>($B$2-O12)/((D12*H12*I12)*(E12/10000))</f>
        <v/>
      </c>
      <c r="R12" s="12">
        <f>ROUNDUP(Q12,0)</f>
        <v/>
      </c>
      <c r="T12" s="12">
        <f>Q12+K12</f>
        <v/>
      </c>
      <c r="U12" s="39">
        <f>IFERROR(IF(G12&gt;0,G12/T12,0),0)</f>
        <v/>
      </c>
      <c r="V12" s="13">
        <f>IFERROR((60/F12)*T12,0)</f>
        <v/>
      </c>
      <c r="W12" s="2">
        <f>_xlfn.LET(_xlpm.x,$V$8:$V$22,COUNT(_xlpm.x)-_xlfn.RANK.EQ(V12,_xlpm.x))</f>
        <v/>
      </c>
      <c r="Y12" s="18">
        <f>IFERROR(ROUNDUP($B$3/(T12*(H12*I12)/$B$4),0),$B$5*$B$3)</f>
        <v/>
      </c>
      <c r="AA12" t="n">
        <v>134</v>
      </c>
      <c r="AC12" s="22">
        <f>Y12/AA12-1</f>
        <v/>
      </c>
    </row>
    <row r="13">
      <c r="A13" s="7">
        <f>WeaponStat!A9</f>
        <v/>
      </c>
      <c r="B13" s="7">
        <f>WeaponStat!B9</f>
        <v/>
      </c>
      <c r="C13" s="7">
        <f>WeaponStat!C9</f>
        <v/>
      </c>
      <c r="D13">
        <f>_xlfn.XLOOKUP(A13,WeaponStat[id],WeaponStat[damage_base],,0)</f>
        <v/>
      </c>
      <c r="E13">
        <f>_xlfn.XLOOKUP(A13,WeaponStat[id],WeaponStat[damage_shield_modifier],,0)</f>
        <v/>
      </c>
      <c r="F13">
        <f>_xlfn.XLOOKUP(A13,WeaponStat[id],WeaponStat[fire_rate],,0)</f>
        <v/>
      </c>
      <c r="G13">
        <f>_xlfn.XLOOKUP(A13,WeaponStat[id],WeaponStat[mag_capacity_1],,0)</f>
        <v/>
      </c>
      <c r="H13" t="n">
        <v>1</v>
      </c>
      <c r="I13" s="10" t="n">
        <v>1</v>
      </c>
      <c r="K13" s="38">
        <f>$B$1/((D13*H13*I13)*(E13/10000))</f>
        <v/>
      </c>
      <c r="L13">
        <f>ROUNDUP(K13,0)</f>
        <v/>
      </c>
      <c r="N13" s="38">
        <f>MOD(K13,1)</f>
        <v/>
      </c>
      <c r="O13" s="13">
        <f>N13*(D13*H13*I13)</f>
        <v/>
      </c>
      <c r="Q13" s="13">
        <f>($B$2-O13)/((D13*H13*I13)*(E13/10000))</f>
        <v/>
      </c>
      <c r="R13" s="12">
        <f>ROUNDUP(Q13,0)</f>
        <v/>
      </c>
      <c r="T13" s="12">
        <f>Q13+K13</f>
        <v/>
      </c>
      <c r="U13" s="39">
        <f>IFERROR(IF(G13&gt;0,G13/T13,0),0)</f>
        <v/>
      </c>
      <c r="V13" s="13">
        <f>IFERROR((60/F13)*T13,0)</f>
        <v/>
      </c>
      <c r="W13" s="2">
        <f>_xlfn.LET(_xlpm.x,$V$8:$V$22,COUNT(_xlpm.x)-_xlfn.RANK.EQ(V13,_xlpm.x))</f>
        <v/>
      </c>
      <c r="Y13" s="18">
        <f>IFERROR(ROUNDUP($B$3/(T13*(H13*I13)/$B$4),0),$B$5*$B$3)</f>
        <v/>
      </c>
      <c r="AA13" t="n">
        <v>286</v>
      </c>
      <c r="AC13" s="22">
        <f>Y13/AA13-1</f>
        <v/>
      </c>
    </row>
    <row r="14">
      <c r="A14" s="7">
        <f>WeaponStat!A10</f>
        <v/>
      </c>
      <c r="B14" s="7">
        <f>WeaponStat!B10</f>
        <v/>
      </c>
      <c r="C14" s="7">
        <f>WeaponStat!C10</f>
        <v/>
      </c>
      <c r="D14">
        <f>_xlfn.XLOOKUP(A14,WeaponStat[id],WeaponStat[damage_base],,0)</f>
        <v/>
      </c>
      <c r="E14">
        <f>_xlfn.XLOOKUP(A14,WeaponStat[id],WeaponStat[damage_shield_modifier],,0)</f>
        <v/>
      </c>
      <c r="F14">
        <f>_xlfn.XLOOKUP(A14,WeaponStat[id],WeaponStat[fire_rate],,0)</f>
        <v/>
      </c>
      <c r="G14">
        <f>_xlfn.XLOOKUP(A14,WeaponStat[id],WeaponStat[mag_capacity_1],,0)</f>
        <v/>
      </c>
      <c r="H14" t="n">
        <v>1</v>
      </c>
      <c r="I14" s="10" t="n">
        <v>1</v>
      </c>
      <c r="K14" s="38">
        <f>$B$1/((D14*H14*I14)*(E14/10000))</f>
        <v/>
      </c>
      <c r="L14">
        <f>ROUNDUP(K14,0)</f>
        <v/>
      </c>
      <c r="N14" s="38">
        <f>MOD(K14,1)</f>
        <v/>
      </c>
      <c r="O14" s="13">
        <f>N14*(D14*H14*I14)</f>
        <v/>
      </c>
      <c r="Q14" s="13">
        <f>($B$2-O14)/((D14*H14*I14)*(E14/10000))</f>
        <v/>
      </c>
      <c r="R14" s="12">
        <f>ROUNDUP(Q14,0)</f>
        <v/>
      </c>
      <c r="T14" s="12">
        <f>Q14+K14</f>
        <v/>
      </c>
      <c r="U14" s="39">
        <f>IFERROR(IF(G14&gt;0,G14/T14,0),0)</f>
        <v/>
      </c>
      <c r="V14" s="13">
        <f>IFERROR((60/F14)*T14,0)</f>
        <v/>
      </c>
      <c r="W14" s="2">
        <f>_xlfn.LET(_xlpm.x,$V$8:$V$22,COUNT(_xlpm.x)-_xlfn.RANK.EQ(V14,_xlpm.x))</f>
        <v/>
      </c>
      <c r="Y14" s="21" t="n">
        <v>0</v>
      </c>
      <c r="AA14" t="n">
        <v>0</v>
      </c>
      <c r="AC14" s="22">
        <f>Y14/AA14-1</f>
        <v/>
      </c>
    </row>
    <row r="15">
      <c r="A15" s="7">
        <f>WeaponStat!A11</f>
        <v/>
      </c>
      <c r="B15" s="7">
        <f>WeaponStat!B11</f>
        <v/>
      </c>
      <c r="C15" s="7">
        <f>WeaponStat!C11</f>
        <v/>
      </c>
      <c r="D15">
        <f>_xlfn.XLOOKUP(A15,WeaponStat[id],WeaponStat[damage_base],,0)</f>
        <v/>
      </c>
      <c r="E15">
        <f>_xlfn.XLOOKUP(A15,WeaponStat[id],WeaponStat[damage_shield_modifier],,0)</f>
        <v/>
      </c>
      <c r="F15">
        <f>_xlfn.XLOOKUP(A15,WeaponStat[id],WeaponStat[fire_rate],,0)</f>
        <v/>
      </c>
      <c r="G15">
        <f>_xlfn.XLOOKUP(A15,WeaponStat[id],WeaponStat[mag_capacity_1],,0)</f>
        <v/>
      </c>
      <c r="H15" t="n">
        <v>1</v>
      </c>
      <c r="I15" s="10" t="n">
        <v>1</v>
      </c>
      <c r="K15" s="38">
        <f>$B$1/((D15*H15*I15)*(E15/10000))</f>
        <v/>
      </c>
      <c r="L15">
        <f>ROUNDUP(K15,0)</f>
        <v/>
      </c>
      <c r="N15" s="38">
        <f>MOD(K15,1)</f>
        <v/>
      </c>
      <c r="O15" s="13">
        <f>N15*(D15*H15*I15)</f>
        <v/>
      </c>
      <c r="Q15" s="13">
        <f>($B$2-O15)/((D15*H15*I15)*(E15/10000))</f>
        <v/>
      </c>
      <c r="R15" s="12">
        <f>ROUNDUP(Q15,0)</f>
        <v/>
      </c>
      <c r="T15" s="12">
        <f>Q15+K15</f>
        <v/>
      </c>
      <c r="U15" s="39">
        <f>IFERROR(IF(G15&gt;0,G15/T15,0),0)</f>
        <v/>
      </c>
      <c r="V15" s="13">
        <f>IFERROR((60/F15)*T15,0)</f>
        <v/>
      </c>
      <c r="W15" s="2">
        <f>_xlfn.LET(_xlpm.x,$V$8:$V$22,COUNT(_xlpm.x)-_xlfn.RANK.EQ(V15,_xlpm.x))</f>
        <v/>
      </c>
      <c r="Y15" s="18">
        <f>IFERROR(ROUNDUP($B$3/(T15*(H15*I15)/$B$4),0),$B$5*$B$3)</f>
        <v/>
      </c>
      <c r="AA15" t="n">
        <v>50</v>
      </c>
      <c r="AC15" s="22">
        <f>Y15/AA15-1</f>
        <v/>
      </c>
    </row>
    <row r="16">
      <c r="A16" s="7">
        <f>WeaponStat!A12</f>
        <v/>
      </c>
      <c r="B16" s="7">
        <f>WeaponStat!B12</f>
        <v/>
      </c>
      <c r="C16" s="7">
        <f>WeaponStat!C12</f>
        <v/>
      </c>
      <c r="D16">
        <f>_xlfn.XLOOKUP(A16,WeaponStat[id],WeaponStat[damage_base],,0)</f>
        <v/>
      </c>
      <c r="E16">
        <f>_xlfn.XLOOKUP(A16,WeaponStat[id],WeaponStat[damage_shield_modifier],,0)</f>
        <v/>
      </c>
      <c r="F16">
        <f>_xlfn.XLOOKUP(A16,WeaponStat[id],WeaponStat[fire_rate],,0)</f>
        <v/>
      </c>
      <c r="G16">
        <f>_xlfn.XLOOKUP(A16,WeaponStat[id],WeaponStat[mag_capacity_1],,0)</f>
        <v/>
      </c>
      <c r="H16" t="n">
        <v>1</v>
      </c>
      <c r="I16" s="10" t="n">
        <v>1</v>
      </c>
      <c r="K16" s="38">
        <f>$B$1/((D16*H16*I16)*(E16/10000))</f>
        <v/>
      </c>
      <c r="L16">
        <f>ROUNDUP(K16,0)</f>
        <v/>
      </c>
      <c r="N16" s="38">
        <f>MOD(K16,1)</f>
        <v/>
      </c>
      <c r="O16" s="13">
        <f>N16*(D16*H16*I16)</f>
        <v/>
      </c>
      <c r="Q16" s="13">
        <f>($B$2-O16)/((D16*H16*I16)*(E16/10000))</f>
        <v/>
      </c>
      <c r="R16" s="12">
        <f>ROUNDUP(Q16,0)</f>
        <v/>
      </c>
      <c r="T16" s="12">
        <f>Q16+K16</f>
        <v/>
      </c>
      <c r="U16" s="39">
        <f>IFERROR(IF(G16&gt;0,G16/T16,0),0)</f>
        <v/>
      </c>
      <c r="V16" s="13">
        <f>IFERROR((60/F16)*T16,0)</f>
        <v/>
      </c>
      <c r="W16" s="2">
        <f>_xlfn.LET(_xlpm.x,$V$8:$V$22,COUNT(_xlpm.x)-_xlfn.RANK.EQ(V16,_xlpm.x))</f>
        <v/>
      </c>
      <c r="Y16" s="18">
        <f>IFERROR(ROUNDUP($B$3/(T16*(H16*I16)/$B$4),0),$B$5*$B$3)</f>
        <v/>
      </c>
      <c r="AA16" t="n">
        <v>500</v>
      </c>
      <c r="AC16" s="22">
        <f>Y16/AA16-1</f>
        <v/>
      </c>
    </row>
    <row r="17">
      <c r="A17" s="7">
        <f>WeaponStat!A13</f>
        <v/>
      </c>
      <c r="B17" s="7">
        <f>WeaponStat!B13</f>
        <v/>
      </c>
      <c r="C17" s="7">
        <f>WeaponStat!C13</f>
        <v/>
      </c>
      <c r="D17">
        <f>_xlfn.XLOOKUP(A17,WeaponStat[id],WeaponStat[damage_base],,0)</f>
        <v/>
      </c>
      <c r="E17">
        <f>_xlfn.XLOOKUP(A17,WeaponStat[id],WeaponStat[damage_shield_modifier],,0)</f>
        <v/>
      </c>
      <c r="F17">
        <f>_xlfn.XLOOKUP(A17,WeaponStat[id],WeaponStat[fire_rate],,0)</f>
        <v/>
      </c>
      <c r="G17">
        <f>_xlfn.XLOOKUP(A17,WeaponStat[id],WeaponStat[mag_capacity_1],,0)</f>
        <v/>
      </c>
      <c r="H17" t="n">
        <v>1</v>
      </c>
      <c r="I17" s="10" t="n">
        <v>1</v>
      </c>
      <c r="K17" s="38">
        <f>$B$1/((D17*H17*I17)*(E17/10000))</f>
        <v/>
      </c>
      <c r="L17">
        <f>ROUNDUP(K17,0)</f>
        <v/>
      </c>
      <c r="N17" s="38">
        <f>MOD(K17,1)</f>
        <v/>
      </c>
      <c r="O17" s="13">
        <f>N17*(D17*H17*I17)</f>
        <v/>
      </c>
      <c r="Q17" s="13">
        <f>($B$2-O17)/((D17*H17*I17)*(E17/10000))</f>
        <v/>
      </c>
      <c r="R17" s="12">
        <f>ROUNDUP(Q17,0)</f>
        <v/>
      </c>
      <c r="T17" s="12">
        <f>Q17+K17</f>
        <v/>
      </c>
      <c r="U17" s="39">
        <f>IFERROR(IF(G17&gt;0,G17/T17,0),0)</f>
        <v/>
      </c>
      <c r="V17" s="13">
        <f>IFERROR((60/F17)*T17,0)</f>
        <v/>
      </c>
      <c r="W17" s="2">
        <f>_xlfn.LET(_xlpm.x,$V$8:$V$22,COUNT(_xlpm.x)-_xlfn.RANK.EQ(V17,_xlpm.x))</f>
        <v/>
      </c>
      <c r="Y17" s="18">
        <f>IFERROR(ROUNDUP($B$3/(T17*(H17*I17)/$B$4),0),$B$5*$B$3)</f>
        <v/>
      </c>
      <c r="AA17" t="n">
        <v>100</v>
      </c>
      <c r="AC17" s="22">
        <f>Y17/AA17-1</f>
        <v/>
      </c>
    </row>
    <row r="18">
      <c r="A18" s="7">
        <f>WeaponStat!A14</f>
        <v/>
      </c>
      <c r="B18" s="7">
        <f>WeaponStat!B14</f>
        <v/>
      </c>
      <c r="C18" s="7">
        <f>WeaponStat!C14</f>
        <v/>
      </c>
      <c r="D18">
        <f>_xlfn.XLOOKUP(A18,WeaponStat[id],WeaponStat[damage_base],,0)</f>
        <v/>
      </c>
      <c r="E18">
        <f>_xlfn.XLOOKUP(A18,WeaponStat[id],WeaponStat[damage_shield_modifier],,0)</f>
        <v/>
      </c>
      <c r="F18">
        <f>_xlfn.XLOOKUP(A18,WeaponStat[id],WeaponStat[fire_rate],,0)</f>
        <v/>
      </c>
      <c r="G18">
        <f>_xlfn.XLOOKUP(A18,WeaponStat[id],WeaponStat[mag_capacity_1],,0)</f>
        <v/>
      </c>
      <c r="H18" t="n">
        <v>1</v>
      </c>
      <c r="I18" s="10" t="n">
        <v>1</v>
      </c>
      <c r="K18" s="38">
        <f>$B$1/((D18*H18*I18)*(E18/10000))</f>
        <v/>
      </c>
      <c r="L18">
        <f>ROUNDUP(K18,0)</f>
        <v/>
      </c>
      <c r="N18" s="38">
        <f>MOD(K18,1)</f>
        <v/>
      </c>
      <c r="O18" s="13">
        <f>N18*(D18*H18*I18)</f>
        <v/>
      </c>
      <c r="Q18" s="13">
        <f>($B$2-O18)/((D18*H18*I18)*(E18/10000))</f>
        <v/>
      </c>
      <c r="R18" s="12">
        <f>ROUNDUP(Q18,0)</f>
        <v/>
      </c>
      <c r="T18" s="12">
        <f>Q18+K18</f>
        <v/>
      </c>
      <c r="U18" s="39">
        <f>IFERROR(IF(G18&gt;0,G18/T18,0),0)</f>
        <v/>
      </c>
      <c r="V18" s="13">
        <f>IFERROR((60/F18)*T18,0)</f>
        <v/>
      </c>
      <c r="W18" s="2">
        <f>_xlfn.LET(_xlpm.x,$V$8:$V$22,COUNT(_xlpm.x)-_xlfn.RANK.EQ(V18,_xlpm.x))</f>
        <v/>
      </c>
      <c r="Y18" s="21" t="n">
        <v>0</v>
      </c>
      <c r="AA18" t="n">
        <v>0</v>
      </c>
      <c r="AC18" s="22">
        <f>Y18/AA18-1</f>
        <v/>
      </c>
    </row>
    <row r="19">
      <c r="A19" s="7">
        <f>WeaponStat!A15</f>
        <v/>
      </c>
      <c r="B19" s="7">
        <f>WeaponStat!B15</f>
        <v/>
      </c>
      <c r="C19" s="7">
        <f>WeaponStat!C15</f>
        <v/>
      </c>
      <c r="D19">
        <f>_xlfn.XLOOKUP(A19,WeaponStat[id],WeaponStat[damage_base],,0)</f>
        <v/>
      </c>
      <c r="E19">
        <f>_xlfn.XLOOKUP(A19,WeaponStat[id],WeaponStat[damage_shield_modifier],,0)</f>
        <v/>
      </c>
      <c r="F19">
        <f>_xlfn.XLOOKUP(A19,WeaponStat[id],WeaponStat[fire_rate],,0)</f>
        <v/>
      </c>
      <c r="G19">
        <f>_xlfn.XLOOKUP(A19,WeaponStat[id],WeaponStat[mag_capacity_1],,0)</f>
        <v/>
      </c>
      <c r="H19" t="n">
        <v>1</v>
      </c>
      <c r="I19" s="10" t="n">
        <v>1</v>
      </c>
      <c r="K19" s="38">
        <f>$B$1/((D19*H19*I19)*(E19/10000))</f>
        <v/>
      </c>
      <c r="L19">
        <f>ROUNDUP(K19,0)</f>
        <v/>
      </c>
      <c r="N19" s="38">
        <f>MOD(K19,1)</f>
        <v/>
      </c>
      <c r="O19" s="13">
        <f>N19*(D19*H19*I19)</f>
        <v/>
      </c>
      <c r="Q19" s="13">
        <f>($B$2-O19)/((D19*H19*I19)*(E19/10000))</f>
        <v/>
      </c>
      <c r="R19" s="12">
        <f>ROUNDUP(Q19,0)</f>
        <v/>
      </c>
      <c r="T19" s="12">
        <f>Q19+K19</f>
        <v/>
      </c>
      <c r="U19" s="39">
        <f>IFERROR(IF(G19&gt;0,G19/T19,0),0)</f>
        <v/>
      </c>
      <c r="V19" s="13">
        <f>IFERROR((60/F19)*T19,0)</f>
        <v/>
      </c>
      <c r="W19" s="2">
        <f>_xlfn.LET(_xlpm.x,$V$8:$V$22,COUNT(_xlpm.x)-_xlfn.RANK.EQ(V19,_xlpm.x))</f>
        <v/>
      </c>
      <c r="Y19" s="18">
        <f>IFERROR(ROUNDUP($B$3/(T19*(H19*I19)/$B$4),0),$B$5*$B$3)</f>
        <v/>
      </c>
      <c r="AA19" t="n">
        <v>1000</v>
      </c>
      <c r="AC19" s="22">
        <f>Y19/AA19-1</f>
        <v/>
      </c>
    </row>
    <row r="20">
      <c r="A20" s="7">
        <f>WeaponStat!A17</f>
        <v/>
      </c>
      <c r="B20" s="7">
        <f>WeaponStat!B17</f>
        <v/>
      </c>
      <c r="C20" s="7">
        <f>WeaponStat!C17</f>
        <v/>
      </c>
      <c r="D20">
        <f>_xlfn.XLOOKUP(A20,WeaponStat[id],WeaponStat[damage_base],,0)</f>
        <v/>
      </c>
      <c r="E20">
        <f>_xlfn.XLOOKUP(A20,WeaponStat[id],WeaponStat[damage_shield_modifier],,0)</f>
        <v/>
      </c>
      <c r="F20" s="4">
        <f>ROUNDDOWN(60000/((80+80+WeaponStat!BF17)/3),0)</f>
        <v/>
      </c>
      <c r="G20">
        <f>_xlfn.XLOOKUP(A20,WeaponStat[id],WeaponStat[mag_capacity_1],,0)</f>
        <v/>
      </c>
      <c r="H20" t="n">
        <v>1</v>
      </c>
      <c r="I20" s="10" t="n">
        <v>1</v>
      </c>
      <c r="K20" s="38">
        <f>$B$1/((D20*H20*I20)*(E20/10000))</f>
        <v/>
      </c>
      <c r="L20">
        <f>ROUNDUP(K20,0)</f>
        <v/>
      </c>
      <c r="N20" s="38">
        <f>MOD(K20,1)</f>
        <v/>
      </c>
      <c r="O20" s="13">
        <f>N20*(D20*H20*I20)</f>
        <v/>
      </c>
      <c r="Q20" s="13">
        <f>($B$2-O20)/((D20*H20*I20)*(E20/10000))</f>
        <v/>
      </c>
      <c r="R20" s="12">
        <f>ROUNDUP(Q20,0)</f>
        <v/>
      </c>
      <c r="T20" s="12">
        <f>Q20+K20</f>
        <v/>
      </c>
      <c r="U20" s="39">
        <f>IFERROR(IF(G20&gt;0,G20/T20,0),0)</f>
        <v/>
      </c>
      <c r="V20" s="13">
        <f>IFERROR((60/F20)*T20,0)</f>
        <v/>
      </c>
      <c r="W20" s="2">
        <f>_xlfn.LET(_xlpm.x,$V$8:$V$22,COUNT(_xlpm.x)-_xlfn.RANK.EQ(V20,_xlpm.x))</f>
        <v/>
      </c>
      <c r="Y20" s="18">
        <f>IFERROR(ROUNDUP($B$3/(T20*(H20*I20)/$B$4),0),$B$5*$B$3)</f>
        <v/>
      </c>
      <c r="AA20" t="n">
        <v>87</v>
      </c>
      <c r="AC20" s="22">
        <f>Y20/AA20-1</f>
        <v/>
      </c>
    </row>
    <row r="21">
      <c r="A21" s="7">
        <f>WeaponStat!A18</f>
        <v/>
      </c>
      <c r="B21" s="7">
        <f>WeaponStat!B18</f>
        <v/>
      </c>
      <c r="C21" s="7">
        <f>WeaponStat!C18</f>
        <v/>
      </c>
      <c r="D21">
        <f>_xlfn.XLOOKUP(A21,WeaponStat[id],WeaponStat[damage_base],,0)</f>
        <v/>
      </c>
      <c r="E21">
        <f>_xlfn.XLOOKUP(A21,WeaponStat[id],WeaponStat[damage_shield_modifier],,0)</f>
        <v/>
      </c>
      <c r="F21">
        <f>_xlfn.XLOOKUP(A21,WeaponStat[id],WeaponStat[fire_rate],,0)</f>
        <v/>
      </c>
      <c r="G21">
        <f>_xlfn.XLOOKUP(A21,WeaponStat[id],WeaponStat[mag_capacity_1],,0)</f>
        <v/>
      </c>
      <c r="H21" t="n">
        <v>1</v>
      </c>
      <c r="I21" s="10" t="n">
        <v>1</v>
      </c>
      <c r="K21" s="38">
        <f>$B$1/((D21*H21*I21)*(E21/10000))</f>
        <v/>
      </c>
      <c r="L21">
        <f>ROUNDUP(K21,0)</f>
        <v/>
      </c>
      <c r="N21" s="38">
        <f>MOD(K21,1)</f>
        <v/>
      </c>
      <c r="O21" s="13">
        <f>N21*(D21*H21*I21)</f>
        <v/>
      </c>
      <c r="Q21" s="13">
        <f>($B$2-O21)/((D21*H21*I21)*(E21/10000))</f>
        <v/>
      </c>
      <c r="R21" s="12">
        <f>ROUNDUP(Q21,0)</f>
        <v/>
      </c>
      <c r="T21" s="12">
        <f>Q21+K21</f>
        <v/>
      </c>
      <c r="U21" s="39">
        <f>IFERROR(IF(G21&gt;0,G21/T21,0),0)</f>
        <v/>
      </c>
      <c r="V21" s="13">
        <f>IFERROR((60/F21)*T21,0)</f>
        <v/>
      </c>
      <c r="W21" s="2">
        <f>_xlfn.LET(_xlpm.x,$V$8:$V$22,COUNT(_xlpm.x)-_xlfn.RANK.EQ(V21,_xlpm.x))</f>
        <v/>
      </c>
      <c r="Y21" s="18">
        <f>IFERROR(ROUNDUP($B$3/(T21*(H21*I21)/$B$4),0),$B$5*$B$3)</f>
        <v/>
      </c>
      <c r="AA21" t="n">
        <v>106</v>
      </c>
      <c r="AC21" s="22">
        <f>Y21/AA21-1</f>
        <v/>
      </c>
    </row>
    <row r="22">
      <c r="A22" s="7">
        <f>WeaponStat!A19</f>
        <v/>
      </c>
      <c r="B22" s="7">
        <f>WeaponStat!B19</f>
        <v/>
      </c>
      <c r="C22" s="7">
        <f>WeaponStat!C19</f>
        <v/>
      </c>
      <c r="D22">
        <f>_xlfn.XLOOKUP(A22,WeaponStat[id],WeaponStat[damage_base],,0)</f>
        <v/>
      </c>
      <c r="E22">
        <f>_xlfn.XLOOKUP(A22,WeaponStat[id],WeaponStat[damage_shield_modifier],,0)</f>
        <v/>
      </c>
      <c r="F22">
        <f>_xlfn.XLOOKUP(A22,WeaponStat[id],WeaponStat[fire_rate],,0)</f>
        <v/>
      </c>
      <c r="G22">
        <f>_xlfn.XLOOKUP(A22,WeaponStat[id],WeaponStat[mag_capacity_1],,0)</f>
        <v/>
      </c>
      <c r="H22" t="n">
        <v>1</v>
      </c>
      <c r="I22" s="10" t="n">
        <v>1</v>
      </c>
      <c r="K22" s="38">
        <f>$B$1/((D22*H22*I22)*(E22/10000))</f>
        <v/>
      </c>
      <c r="L22">
        <f>ROUNDUP(K22,0)</f>
        <v/>
      </c>
      <c r="N22" s="38">
        <f>MOD(K22,1)</f>
        <v/>
      </c>
      <c r="O22" s="13">
        <f>N22*(D22*H22*I22)</f>
        <v/>
      </c>
      <c r="Q22" s="13">
        <f>($B$2-O22)/((D22*H22*I22)*(E22/10000))</f>
        <v/>
      </c>
      <c r="R22" s="12">
        <f>ROUNDUP(Q22,0)</f>
        <v/>
      </c>
      <c r="T22" s="12">
        <f>Q22+K22</f>
        <v/>
      </c>
      <c r="U22" s="39">
        <f>IFERROR(IF(G22&gt;0,G22/T22,0),0)</f>
        <v/>
      </c>
      <c r="V22" s="13">
        <f>IFERROR((60/F22)*T22,0)</f>
        <v/>
      </c>
      <c r="W22" s="2">
        <f>_xlfn.LET(_xlpm.x,$V$8:$V$22,COUNT(_xlpm.x)-_xlfn.RANK.EQ(V22,_xlpm.x))</f>
        <v/>
      </c>
      <c r="Y22" s="18">
        <f>IFERROR(ROUNDUP($B$3/(T22*(H22*I22)/$B$4),0),$B$5*$B$3)</f>
        <v/>
      </c>
      <c r="AA22" t="n">
        <v>200</v>
      </c>
      <c r="AC22" s="22">
        <f>Y22/AA22-1</f>
        <v/>
      </c>
    </row>
  </sheetData>
  <mergeCells count="2">
    <mergeCell ref="F5:I5"/>
    <mergeCell ref="C1:C5"/>
  </mergeCells>
  <conditionalFormatting sqref="A1:A5">
    <cfRule type="containsText" priority="6" operator="containsText" dxfId="0" text="#">
      <formula>NOT(ISERROR(SEARCH("#",A1)))</formula>
    </cfRule>
  </conditionalFormatting>
  <conditionalFormatting sqref="A7:I7 K7:L7">
    <cfRule type="containsText" priority="7" operator="containsText" dxfId="0" text="#">
      <formula>NOT(ISERROR(SEARCH("#",A7)))</formula>
    </cfRule>
  </conditionalFormatting>
  <conditionalFormatting sqref="N7:O7">
    <cfRule type="containsText" priority="5" operator="containsText" dxfId="0" text="#">
      <formula>NOT(ISERROR(SEARCH("#",N7)))</formula>
    </cfRule>
  </conditionalFormatting>
  <conditionalFormatting sqref="Q7:R7">
    <cfRule type="containsText" priority="4" operator="containsText" dxfId="0" text="#">
      <formula>NOT(ISERROR(SEARCH("#",Q7)))</formula>
    </cfRule>
  </conditionalFormatting>
  <conditionalFormatting sqref="T7:W7 Y7">
    <cfRule type="containsText" priority="3" operator="containsText" dxfId="0" text="#">
      <formula>NOT(ISERROR(SEARCH("#",T7)))</formula>
    </cfRule>
  </conditionalFormatting>
  <conditionalFormatting sqref="U8:U22">
    <cfRule type="dataBar" priority="2">
      <dataBar>
        <cfvo type="num" val="0"/>
        <cfvo type="num" val="3"/>
        <color rgb="FF63C384"/>
      </dataBar>
    </cfRule>
  </conditionalFormatting>
  <conditionalFormatting sqref="V8:V22">
    <cfRule type="colorScale" priority="1">
      <colorScale>
        <cfvo type="num" val="1"/>
        <cfvo type="num" val="3.5"/>
        <cfvo type="num" val="6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2025-10-13T07:07:30Z</dcterms:created>
  <dcterms:modified xsi:type="dcterms:W3CDTF">2026-03-09T07:45:26Z</dcterms:modified>
  <cp:lastModifiedBy>Habin Kim (김하빈)</cp:lastModifiedBy>
</cp:coreProperties>
</file>