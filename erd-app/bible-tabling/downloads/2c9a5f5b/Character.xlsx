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Character" sheetId="1" state="visible" r:id="rId1"/>
    <sheet name="CharacterAppearance" sheetId="2" state="visible" r:id="rId2"/>
    <sheet name="CharacterStat" sheetId="3" state="visible" r:id="rId3"/>
    <sheet name="CharacterGearSet" sheetId="4" state="visible" r:id="rId4"/>
    <sheet name="CharacterClass" sheetId="5" state="visible" r:id="rId5"/>
    <sheet name="CharacterPassiveSet" sheetId="6" state="visible" r:id="rId6"/>
    <sheet name="CharacterPingSoun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color theme="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2"/>
      <sz val="11"/>
      <scheme val="minor"/>
    </font>
    <font>
      <name val="맑은 고딕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medium">
        <color indexed="64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2">
    <xf numFmtId="0" fontId="0" fillId="0" borderId="0"/>
    <xf numFmtId="0" fontId="9" fillId="0" borderId="0" applyAlignment="1">
      <alignment vertical="center"/>
    </xf>
  </cellStyleXfs>
  <cellXfs count="58"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2" pivotButton="0" quotePrefix="0" xfId="0"/>
    <xf numFmtId="0" fontId="12" fillId="3" borderId="1" pivotButton="0" quotePrefix="0" xfId="0"/>
    <xf numFmtId="0" fontId="12" fillId="2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7" fillId="0" borderId="0" applyAlignment="1" pivotButton="0" quotePrefix="0" xfId="0">
      <alignment vertical="center"/>
    </xf>
    <xf numFmtId="0" fontId="14" fillId="0" borderId="2" pivotButton="0" quotePrefix="0" xfId="0"/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0" fillId="0" borderId="3" pivotButton="0" quotePrefix="0" xfId="0"/>
    <xf numFmtId="0" fontId="14" fillId="0" borderId="0" pivotButton="0" quotePrefix="0" xfId="0"/>
    <xf numFmtId="0" fontId="5" fillId="0" borderId="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4" fillId="4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4" pivotButton="0" quotePrefix="0" xfId="0"/>
    <xf numFmtId="0" fontId="0" fillId="4" borderId="0" pivotButton="0" quotePrefix="0" xfId="0"/>
    <xf numFmtId="0" fontId="9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0" fillId="4" borderId="3" pivotButton="0" quotePrefix="0" xfId="0"/>
    <xf numFmtId="0" fontId="9" fillId="4" borderId="3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7" fillId="4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15" fillId="4" borderId="3" applyAlignment="1" pivotButton="0" quotePrefix="0" xfId="0">
      <alignment vertical="center"/>
    </xf>
    <xf numFmtId="0" fontId="14" fillId="4" borderId="0" applyAlignment="1" pivotButton="0" quotePrefix="0" xfId="0">
      <alignment vertical="center"/>
    </xf>
    <xf numFmtId="0" fontId="14" fillId="4" borderId="3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13" fillId="0" borderId="3" applyAlignment="1" pivotButton="0" quotePrefix="0" xfId="0">
      <alignment vertical="center"/>
    </xf>
    <xf numFmtId="0" fontId="13" fillId="0" borderId="3" pivotButton="0" quotePrefix="0" xfId="0"/>
    <xf numFmtId="0" fontId="16" fillId="6" borderId="6" pivotButton="0" quotePrefix="0" xfId="0"/>
    <xf numFmtId="0" fontId="16" fillId="0" borderId="7" pivotButton="0" quotePrefix="0" xfId="0"/>
    <xf numFmtId="0" fontId="16" fillId="0" borderId="6" pivotButton="0" quotePrefix="0" xfId="0"/>
    <xf numFmtId="0" fontId="16" fillId="6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center"/>
    </xf>
    <xf numFmtId="0" fontId="0" fillId="7" borderId="5" pivotButton="0" quotePrefix="0" xfId="0"/>
    <xf numFmtId="0" fontId="0" fillId="7" borderId="2" pivotButton="0" quotePrefix="0" xfId="0"/>
    <xf numFmtId="0" fontId="13" fillId="8" borderId="2" pivotButton="0" quotePrefix="0" xfId="0"/>
    <xf numFmtId="0" fontId="0" fillId="9" borderId="0" pivotButton="0" quotePrefix="0" xfId="0"/>
  </cellXfs>
  <cellStyles count="2">
    <cellStyle name="표준" xfId="0" builtinId="0"/>
    <cellStyle name="표준 3" xfId="1"/>
  </cellStyles>
  <dxfs count="29"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haracter" displayName="Character" ref="A2:O20" headerRowCount="1">
  <autoFilter ref="A2:O20"/>
  <tableColumns count="15">
    <tableColumn id="1" name="id"/>
    <tableColumn id="2" name="#char_memo"/>
    <tableColumn id="3" name="type"/>
    <tableColumn id="12" name="is_display" dataDxfId="28"/>
    <tableColumn id="4" name="name_id"/>
    <tableColumn id="5" name="desc_id"/>
    <tableColumn id="6" name="character_class"/>
    <tableColumn id="7" name="#class_memo" dataDxfId="27">
      <calculatedColumnFormula>IFERROR(_xlfn.XLOOKUP(Character[[#This Row],[character_class]],CharacterClass[character_class],CharacterClass['#class_memo],,0),"__")</calculatedColumnFormula>
    </tableColumn>
    <tableColumn id="8" name="icon_id"/>
    <tableColumn id="13" name="default_anim_controller" dataDxfId="26"/>
    <tableColumn id="9" name="character_appearance_id"/>
    <tableColumn id="10" name="character_stat_id"/>
    <tableColumn id="11" name="character_gear_set_id"/>
    <tableColumn id="17" name="character_passive_set_id" dataDxfId="25"/>
    <tableColumn id="14" name="skill_set_id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racterAppearance" displayName="CharacterAppearance" ref="A2:P15" headerRowCount="1">
  <autoFilter ref="A2:P15"/>
  <tableColumns count="16">
    <tableColumn id="1" name="id"/>
    <tableColumn id="2" name="#char_memo">
      <calculatedColumnFormula>_xlfn.XLOOKUP(CharacterAppearance[[#This Row],[id]],Character[character_appearance_id],Character['#char_memo],,0)</calculatedColumnFormula>
    </tableColumn>
    <tableColumn id="3" name="model_id"/>
    <tableColumn id="4" name="is_collision_ally"/>
    <tableColumn id="5" name="is_collision_enemy"/>
    <tableColumn id="6" name="height"/>
    <tableColumn id="14" name="height_crouch" dataDxfId="23"/>
    <tableColumn id="7" name="head_skin_id"/>
    <tableColumn id="8" name="mask_skin_id"/>
    <tableColumn id="9" name="face_paint_skin_id"/>
    <tableColumn id="10" name="shirt_skin_id"/>
    <tableColumn id="11" name="pants_skin_id"/>
    <tableColumn id="12" name="shoes_skin_id"/>
    <tableColumn id="13" name="portrait" dataDxfId="22"/>
    <tableColumn id="16" name="fullbody_img" dataDxfId="21"/>
    <tableColumn id="15" name="minimap_icon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racterStat" displayName="CharacterStat" ref="A2:DG51" headerRowCount="1">
  <autoFilter ref="A2:DG51"/>
  <tableColumns count="111">
    <tableColumn id="1" name="id"/>
    <tableColumn id="2" name="level"/>
    <tableColumn id="3" name="#char_memo"/>
    <tableColumn id="4" name="max_health"/>
    <tableColumn id="5" name="health_regen"/>
    <tableColumn id="6" name="max_energy"/>
    <tableColumn id="7" name="energy_gain_modifier"/>
    <tableColumn id="8" name="max_innate_shield"/>
    <tableColumn id="9" name="innate_shield_regen"/>
    <tableColumn id="10" name="dbno_max_health"/>
    <tableColumn id="11" name="dbno_health_regen"/>
    <tableColumn id="12" name="heal_rate"/>
    <tableColumn id="13" name="heal_by_rate"/>
    <tableColumn id="14" name="temp_shield_rate"/>
    <tableColumn id="15" name="temp_shield_by_rate"/>
    <tableColumn id="16" name="damage_rate"/>
    <tableColumn id="17" name="damage_reduction_rate"/>
    <tableColumn id="18" name="bullet_damage_rate"/>
    <tableColumn id="19" name="bullet_damage_reduction_rate"/>
    <tableColumn id="20" name="splash_damage_rate"/>
    <tableColumn id="21" name="splash_damage_reduction_rate"/>
    <tableColumn id="22" name="damage_base"/>
    <tableColumn id="23" name="damage_head_modifier"/>
    <tableColumn id="24" name="damage_body_modifier"/>
    <tableColumn id="25" name="damage_limb_modifier"/>
    <tableColumn id="26" name="damage_shield_modifier"/>
    <tableColumn id="27" name="damage_self_value"/>
    <tableColumn id="28" name="damage_ally_value"/>
    <tableColumn id="29" name="damage_enemy_value"/>
    <tableColumn id="30" name="heal_base"/>
    <tableColumn id="31" name="fire_rate"/>
    <tableColumn id="32" name="effective_range"/>
    <tableColumn id="33" name="damage_falloff_start_distance"/>
    <tableColumn id="34" name="damage_falloff_end_distance"/>
    <tableColumn id="35" name="damage_falloff_min_value"/>
    <tableColumn id="36" name="mag_capacity_1"/>
    <tableColumn id="37" name="mag_capacity_2"/>
    <tableColumn id="38" name="mag_capacity_3"/>
    <tableColumn id="39" name="no_anim_reload_time"/>
    <tableColumn id="40" name="reload_time"/>
    <tableColumn id="41" name="reload_speed"/>
    <tableColumn id="42" name="move_speed"/>
    <tableColumn id="43" name="move_speed_rate_stand_hip"/>
    <tableColumn id="44" name="move_speed_rate_stand_hip_fire"/>
    <tableColumn id="45" name="move_speed_rate_stand_aim"/>
    <tableColumn id="46" name="move_speed_rate_stand_ads"/>
    <tableColumn id="47" name="move_speed_rate_stand_reload"/>
    <tableColumn id="48" name="move_speed_rate_stand_equip"/>
    <tableColumn id="49" name="move_speed_rate_crouch_hip"/>
    <tableColumn id="50" name="move_speed_rate_crouch_hip_fire"/>
    <tableColumn id="51" name="move_speed_rate_crouch_aim"/>
    <tableColumn id="52" name="move_speed_rate_crouch_ads"/>
    <tableColumn id="53" name="move_speed_rate_crouch_reload"/>
    <tableColumn id="54" name="move_speed_rate_crouch_equip"/>
    <tableColumn id="55" name="deviation_standing"/>
    <tableColumn id="56" name="deviation_crouch"/>
    <tableColumn id="57" name="deviation_rate_aim"/>
    <tableColumn id="58" name="deviation_rate_ads"/>
    <tableColumn id="59" name="deviation_rate_move"/>
    <tableColumn id="60" name="deviation_rate_jump"/>
    <tableColumn id="61" name="moa_base"/>
    <tableColumn id="62" name="moa_max"/>
    <tableColumn id="63" name="moa_increment_per_shot"/>
    <tableColumn id="64" name="moa_bonus_shot_count"/>
    <tableColumn id="65" name="moa_bonus_reset_time"/>
    <tableColumn id="66" name="moa_recovery"/>
    <tableColumn id="67" name="moa_recovery_delay"/>
    <tableColumn id="68" name="aim_assist_hip_fire_radius"/>
    <tableColumn id="69" name="aim_assist_ads_enter_raidus"/>
    <tableColumn id="70" name="aim_assist_ads_fire_radius"/>
    <tableColumn id="71" name="aim_assist_keep_fire"/>
    <tableColumn id="72" name="aim_assist_keep_recover_time"/>
    <tableColumn id="73" name="aim_assist_duration"/>
    <tableColumn id="74" name="burst_shot_count"/>
    <tableColumn id="75" name="burst_interval"/>
    <tableColumn id="76" name="burst_min_input_interval"/>
    <tableColumn id="77" name="burst_final_shot_modifier"/>
    <tableColumn id="78" name="pellet_count"/>
    <tableColumn id="79" name="pellet_spread"/>
    <tableColumn id="80" name="heat_max"/>
    <tableColumn id="81" name="heat_per_shot"/>
    <tableColumn id="82" name="heat_cooldown_rate"/>
    <tableColumn id="83" name="heat_cooldown_delay"/>
    <tableColumn id="84" name="overheat_cooldown_time"/>
    <tableColumn id="85" name="durability_head"/>
    <tableColumn id="86" name="durability_body"/>
    <tableColumn id="87" name="damage_reduction_base"/>
    <tableColumn id="88" name="damage_reduction_rate_head"/>
    <tableColumn id="89" name="damage_reduction_rate_body"/>
    <tableColumn id="90" name="damage_reduction_rate_limb"/>
    <tableColumn id="91" name="damage_transfer_rate_head"/>
    <tableColumn id="92" name="damage_transfer_rate_body"/>
    <tableColumn id="93" name="skill_damage_rate"/>
    <tableColumn id="94" name="skill_damage_reduction_rate"/>
    <tableColumn id="95" name="skill_speed_rate"/>
    <tableColumn id="96" name="skill_cooldown_haste"/>
    <tableColumn id="97" name="post_fire_delay"/>
    <tableColumn id="98" name="force_delay_rate"/>
    <tableColumn id="99" name="draw_duration"/>
    <tableColumn id="100" name="fire_hit_energy_gain"/>
    <tableColumn id="101" name="energy_gain_head_modifier"/>
    <tableColumn id="102" name="innate_shield_regen_draw"/>
    <tableColumn id="103" name="innate_shield_regen_sheath"/>
    <tableColumn id="104" name="stun_duration"/>
    <tableColumn id="105" name="negative_speed_duration"/>
    <tableColumn id="106" name="charge_max_time"/>
    <tableColumn id="107" name="charge_tier"/>
    <tableColumn id="108" name="charge_damage_modifier_per_tier"/>
    <tableColumn id="109" name="charge_damage_modifier_max"/>
    <tableColumn id="110" name="charge_ammo_consume_modifier_per_tier"/>
    <tableColumn id="111" name="damage_no_shield_modif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racterGearSet" displayName="CharacterGearSet" ref="A2:H14" headerRowCount="1">
  <autoFilter ref="A2:H14"/>
  <tableColumns count="8">
    <tableColumn id="1" name="id"/>
    <tableColumn id="2" name="#char_memo" dataDxfId="19">
      <calculatedColumnFormula>_xlfn.XLOOKUP(CharacterGearSet[[#This Row],[id]],Character[character_gear_set_id],Character['#char_memo],,0)</calculatedColumnFormula>
    </tableColumn>
    <tableColumn id="3" name="fist_gear_id"/>
    <tableColumn id="4" name="weapon_gear_main_id_1" dataDxfId="18"/>
    <tableColumn id="5" name="weapon_gear_main_id_2" dataDxfId="17"/>
    <tableColumn id="8" name="weapon_gear_sub_id" dataDxfId="16"/>
    <tableColumn id="6" name="helmet_gear_id"/>
    <tableColumn id="7" name="chest_gea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racterClass" displayName="CharacterClass" ref="A2:E5" headerRowCount="1" totalsRowShown="0" headerRowDxfId="15" dataDxfId="13" headerRowBorderDxfId="14">
  <autoFilter ref="A2:E5"/>
  <tableColumns count="5">
    <tableColumn id="1" name="character_class" dataDxfId="12"/>
    <tableColumn id="7" name="#class_memo" dataDxfId="11"/>
    <tableColumn id="2" name="name_id" dataDxfId="10"/>
    <tableColumn id="3" name="decs_id" dataDxfId="9"/>
    <tableColumn id="5" name="icon_id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racterPassiveSet" displayName="CharacterPassiveSet" ref="A2:D12" headerRowCount="1" totalsRowShown="0" dataDxfId="6" headerRowBorderDxfId="7" tableBorderDxfId="5" totalsRowBorderDxfId="4">
  <autoFilter ref="A2:D12"/>
  <tableColumns count="4">
    <tableColumn id="1" name="id" dataDxfId="3"/>
    <tableColumn id="2" name="#char_memo" dataDxfId="2">
      <calculatedColumnFormula>_xlfn.XLOOKUP(CharacterPassiveSet[[#This Row],[id]],Character[id],Character['#char_memo],,0)</calculatedColumnFormula>
    </tableColumn>
    <tableColumn id="3" name="passive_id" dataDxfId="1"/>
    <tableColumn id="4" name="#passive_memo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racterAppearance8" displayName="CharacterAppearance8" ref="A2:C6" headerRowCount="1">
  <autoFilter ref="A2:C6"/>
  <tableColumns count="3">
    <tableColumn id="1" name="character_id"/>
    <tableColumn id="3" name="ping_id"/>
    <tableColumn id="4" name="ping_sound_as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85" zoomScaleNormal="85" workbookViewId="0">
      <pane xSplit="2" ySplit="2" topLeftCell="F4" activePane="bottomRight" state="frozen"/>
      <selection pane="topRight" activeCell="C1" sqref="C1"/>
      <selection pane="bottomLeft" activeCell="A3" sqref="A3"/>
      <selection pane="bottomRight" activeCell="I31" sqref="I31"/>
    </sheetView>
  </sheetViews>
  <sheetFormatPr baseColWidth="8" defaultRowHeight="16.5"/>
  <cols>
    <col width="11" bestFit="1" customWidth="1" min="1" max="1"/>
    <col width="23" bestFit="1" customWidth="1" min="2" max="2"/>
    <col width="10.625" bestFit="1" customWidth="1" min="3" max="3"/>
    <col width="10.625" customWidth="1" min="4" max="4"/>
    <col width="26" bestFit="1" customWidth="1" min="5" max="5"/>
    <col width="24.875" bestFit="1" customWidth="1" min="6" max="6"/>
    <col width="17.25" bestFit="1" customWidth="1" min="7" max="7"/>
    <col width="17.25" customWidth="1" min="8" max="8"/>
    <col width="27.75" bestFit="1" customWidth="1" min="9" max="9"/>
    <col width="25.75" bestFit="1" customWidth="1" min="10" max="10"/>
    <col width="26.375" bestFit="1" customWidth="1" min="11" max="11"/>
    <col width="17.75" bestFit="1" customWidth="1" min="12" max="12"/>
    <col width="23.375" bestFit="1" customWidth="1" min="13" max="13"/>
    <col width="26.125" bestFit="1" customWidth="1" min="14" max="14"/>
    <col width="23.375" customWidth="1" min="15" max="15"/>
    <col width="22.5" customWidth="1" min="16" max="16"/>
    <col width="23.125" customWidth="1" min="17" max="17"/>
  </cols>
  <sheetData>
    <row r="1">
      <c r="A1" t="inlineStr">
        <is>
          <t>DataGroup</t>
        </is>
      </c>
      <c r="B1" s="1" t="inlineStr">
        <is>
          <t>Character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type</t>
        </is>
      </c>
      <c r="D2" s="14" t="inlineStr">
        <is>
          <t>is_display</t>
        </is>
      </c>
      <c r="E2" s="1" t="inlineStr">
        <is>
          <t>name_id</t>
        </is>
      </c>
      <c r="F2" s="1" t="inlineStr">
        <is>
          <t>desc_id</t>
        </is>
      </c>
      <c r="G2" s="1" t="inlineStr">
        <is>
          <t>character_class</t>
        </is>
      </c>
      <c r="H2" s="2" t="inlineStr">
        <is>
          <t>#class_memo</t>
        </is>
      </c>
      <c r="I2" s="1" t="inlineStr">
        <is>
          <t>icon_id</t>
        </is>
      </c>
      <c r="J2" s="5" t="inlineStr">
        <is>
          <t>default_anim_controller</t>
        </is>
      </c>
      <c r="K2" s="1" t="inlineStr">
        <is>
          <t>character_appearance_id</t>
        </is>
      </c>
      <c r="L2" s="1" t="inlineStr">
        <is>
          <t>character_stat_id</t>
        </is>
      </c>
      <c r="M2" s="5" t="inlineStr">
        <is>
          <t>character_gear_set_id</t>
        </is>
      </c>
      <c r="N2" s="5" t="inlineStr">
        <is>
          <t>character_passive_set_id</t>
        </is>
      </c>
      <c r="O2" s="5" t="inlineStr">
        <is>
          <t>skill_set_id</t>
        </is>
      </c>
    </row>
    <row r="3">
      <c r="A3" s="25" t="n">
        <v>1001</v>
      </c>
      <c r="B3" s="53" t="inlineStr">
        <is>
          <t>프리드웬</t>
        </is>
      </c>
      <c r="C3" s="1" t="inlineStr">
        <is>
          <t>Player</t>
        </is>
      </c>
      <c r="D3" s="1" t="n">
        <v>1</v>
      </c>
      <c r="E3" s="5" t="inlineStr">
        <is>
          <t>Player_Name_Vanguard_01</t>
        </is>
      </c>
      <c r="F3" s="5" t="inlineStr">
        <is>
          <t>Player_Desc_Vanguard_01</t>
        </is>
      </c>
      <c r="G3" s="12" t="inlineStr">
        <is>
          <t>Tank</t>
        </is>
      </c>
      <c r="H3" s="1">
        <f>IFERROR(_xlfn.XLOOKUP(Character[[#This Row],[character_class]],CharacterClass[character_class],CharacterClass['#class_memo],,0),"__")</f>
        <v/>
      </c>
      <c r="I3" s="16" t="inlineStr">
        <is>
          <t>icon_hero_vanguard</t>
        </is>
      </c>
      <c r="J3" t="inlineStr">
        <is>
          <t>DevAssets(not packed)/_Animation/animationcontroller/player_animator_controller.controller</t>
        </is>
      </c>
      <c r="K3" s="1" t="n">
        <v>1001</v>
      </c>
      <c r="L3" s="1" t="n">
        <v>1001</v>
      </c>
      <c r="M3" s="1" t="n">
        <v>1001</v>
      </c>
      <c r="N3" s="1" t="n">
        <v>1001</v>
      </c>
      <c r="O3" s="25" t="n">
        <v>1001</v>
      </c>
    </row>
    <row r="4">
      <c r="A4" s="25" t="n">
        <v>2001</v>
      </c>
      <c r="B4" s="53" t="inlineStr">
        <is>
          <t>카야</t>
        </is>
      </c>
      <c r="C4" s="1" t="inlineStr">
        <is>
          <t>Player</t>
        </is>
      </c>
      <c r="D4" s="1" t="n">
        <v>1</v>
      </c>
      <c r="E4" s="5" t="inlineStr">
        <is>
          <t>Player_Name_Striker_01</t>
        </is>
      </c>
      <c r="F4" s="5" t="inlineStr">
        <is>
          <t>Player_Desc_Striker_01</t>
        </is>
      </c>
      <c r="G4" s="12" t="inlineStr">
        <is>
          <t>Damage</t>
        </is>
      </c>
      <c r="H4" s="1">
        <f>IFERROR(_xlfn.XLOOKUP(Character[[#This Row],[character_class]],CharacterClass[character_class],CharacterClass['#class_memo],,0),"__")</f>
        <v/>
      </c>
      <c r="I4" s="16" t="inlineStr">
        <is>
          <t>icon_hero_striker</t>
        </is>
      </c>
      <c r="J4" t="inlineStr">
        <is>
          <t>DevAssets(not packed)/_Animation/animationcontroller/player_animator_controller.controller</t>
        </is>
      </c>
      <c r="K4" s="1" t="n">
        <v>2001</v>
      </c>
      <c r="L4" s="1" t="n">
        <v>2001</v>
      </c>
      <c r="M4" s="1" t="n">
        <v>2001</v>
      </c>
      <c r="N4" s="1" t="n">
        <v>2001</v>
      </c>
      <c r="O4" s="25" t="n">
        <v>2001</v>
      </c>
    </row>
    <row r="5">
      <c r="A5" s="25" t="n">
        <v>3001</v>
      </c>
      <c r="B5" s="53" t="inlineStr">
        <is>
          <t>엔젤</t>
        </is>
      </c>
      <c r="C5" s="1" t="inlineStr">
        <is>
          <t>Player</t>
        </is>
      </c>
      <c r="D5" s="1" t="n">
        <v>0</v>
      </c>
      <c r="E5" s="5" t="inlineStr">
        <is>
          <t>Player_Name_Agent_01</t>
        </is>
      </c>
      <c r="F5" s="5" t="inlineStr">
        <is>
          <t>Player_Desc_Agent_01</t>
        </is>
      </c>
      <c r="G5" s="12" t="inlineStr">
        <is>
          <t>Damage</t>
        </is>
      </c>
      <c r="H5" s="1">
        <f>IFERROR(_xlfn.XLOOKUP(Character[[#This Row],[character_class]],CharacterClass[character_class],CharacterClass['#class_memo],,0),"__")</f>
        <v/>
      </c>
      <c r="I5" s="16" t="inlineStr">
        <is>
          <t>icon_hero_agent</t>
        </is>
      </c>
      <c r="J5" t="inlineStr">
        <is>
          <t>DevAssets(not packed)/_Animation/animationcontroller/player_animator_controller.controller</t>
        </is>
      </c>
      <c r="K5" s="1" t="n">
        <v>3001</v>
      </c>
      <c r="L5" s="1" t="n">
        <v>3001</v>
      </c>
      <c r="M5" s="1" t="n">
        <v>3001</v>
      </c>
      <c r="N5" s="1" t="n">
        <v>3001</v>
      </c>
      <c r="O5" s="25" t="n">
        <v>3001</v>
      </c>
    </row>
    <row r="6" ht="17.25" customHeight="1">
      <c r="A6" s="25" t="n">
        <v>4001</v>
      </c>
      <c r="B6" s="53" t="inlineStr">
        <is>
          <t>시냅스</t>
        </is>
      </c>
      <c r="C6" s="1" t="inlineStr">
        <is>
          <t>Player</t>
        </is>
      </c>
      <c r="D6" s="1" t="n">
        <v>0</v>
      </c>
      <c r="E6" s="5" t="inlineStr">
        <is>
          <t>Player_Name_Mechanic_01</t>
        </is>
      </c>
      <c r="F6" s="5" t="inlineStr">
        <is>
          <t>Player_Desc_Mechanic_01</t>
        </is>
      </c>
      <c r="G6" s="12" t="inlineStr">
        <is>
          <t>Support</t>
        </is>
      </c>
      <c r="H6" s="1">
        <f>IFERROR(_xlfn.XLOOKUP(Character[[#This Row],[character_class]],CharacterClass[character_class],CharacterClass['#class_memo],,0),"__")</f>
        <v/>
      </c>
      <c r="I6" s="5" t="inlineStr">
        <is>
          <t>icon_hero_mechanic</t>
        </is>
      </c>
      <c r="J6" t="inlineStr">
        <is>
          <t>DevAssets(not packed)/_Animation/animationcontroller/player_animator_controller.controller</t>
        </is>
      </c>
      <c r="K6" s="1" t="n">
        <v>4001</v>
      </c>
      <c r="L6" s="1" t="n">
        <v>4001</v>
      </c>
      <c r="M6" s="1" t="n">
        <v>4001</v>
      </c>
      <c r="N6" s="1" t="n">
        <v>4001</v>
      </c>
      <c r="O6" s="25" t="n">
        <v>4001</v>
      </c>
    </row>
    <row r="7" customFormat="1" s="30">
      <c r="A7" s="30" t="n">
        <v>100100</v>
      </c>
      <c r="B7" s="30" t="inlineStr">
        <is>
          <t>뱅가드 (old)</t>
        </is>
      </c>
      <c r="C7" s="31" t="inlineStr">
        <is>
          <t>Player</t>
        </is>
      </c>
      <c r="D7" s="31" t="n">
        <v>0</v>
      </c>
      <c r="E7" s="32" t="inlineStr">
        <is>
          <t>Player_Name_Vanguard_01</t>
        </is>
      </c>
      <c r="F7" s="32" t="inlineStr">
        <is>
          <t>Player_Desc_Vanguard_01</t>
        </is>
      </c>
      <c r="G7" s="33" t="inlineStr">
        <is>
          <t>Tank</t>
        </is>
      </c>
      <c r="H7" s="31">
        <f>IFERROR(_xlfn.XLOOKUP(Character[[#This Row],[character_class]],CharacterClass[character_class],CharacterClass['#class_memo],,0),"__")</f>
        <v/>
      </c>
      <c r="I7" s="34" t="inlineStr">
        <is>
          <t>icon_hero_vanguard</t>
        </is>
      </c>
      <c r="J7" s="30" t="inlineStr">
        <is>
          <t>DevAssets(not packed)/_Animation/animationcontroller/player_animator_controller.controller</t>
        </is>
      </c>
      <c r="K7" s="35" t="n">
        <v>100100</v>
      </c>
      <c r="L7" s="35" t="n">
        <v>1001</v>
      </c>
      <c r="M7" s="35" t="n">
        <v>100100</v>
      </c>
      <c r="N7" s="31" t="n">
        <v>1001</v>
      </c>
      <c r="O7" s="35" t="n">
        <v>1001</v>
      </c>
    </row>
    <row r="8" customFormat="1" s="30">
      <c r="A8" s="30" t="n">
        <v>200100</v>
      </c>
      <c r="B8" s="30" t="inlineStr">
        <is>
          <t>스트라이커 (old)</t>
        </is>
      </c>
      <c r="C8" s="31" t="inlineStr">
        <is>
          <t>Player</t>
        </is>
      </c>
      <c r="D8" s="31" t="n">
        <v>0</v>
      </c>
      <c r="E8" s="32" t="inlineStr">
        <is>
          <t>Player_Name_Striker_01</t>
        </is>
      </c>
      <c r="F8" s="32" t="inlineStr">
        <is>
          <t>Player_Desc_Striker_01</t>
        </is>
      </c>
      <c r="G8" s="33" t="inlineStr">
        <is>
          <t>Damage</t>
        </is>
      </c>
      <c r="H8" s="31">
        <f>IFERROR(_xlfn.XLOOKUP(Character[[#This Row],[character_class]],CharacterClass[character_class],CharacterClass['#class_memo],,0),"__")</f>
        <v/>
      </c>
      <c r="I8" s="34" t="inlineStr">
        <is>
          <t>icon_hero_striker</t>
        </is>
      </c>
      <c r="J8" s="30" t="inlineStr">
        <is>
          <t>DevAssets(not packed)/_Animation/animationcontroller/player_animator_controller.controller</t>
        </is>
      </c>
      <c r="K8" s="35" t="n">
        <v>200100</v>
      </c>
      <c r="L8" s="35" t="n">
        <v>2001</v>
      </c>
      <c r="M8" s="35" t="n">
        <v>200100</v>
      </c>
      <c r="N8" s="31" t="n">
        <v>2001</v>
      </c>
      <c r="O8" s="35" t="n">
        <v>2001</v>
      </c>
    </row>
    <row r="9" customFormat="1" s="30">
      <c r="A9" s="30" t="n">
        <v>300100</v>
      </c>
      <c r="B9" s="30" t="inlineStr">
        <is>
          <t>에이전트 (old)</t>
        </is>
      </c>
      <c r="C9" s="31" t="inlineStr">
        <is>
          <t>Player</t>
        </is>
      </c>
      <c r="D9" s="31" t="n">
        <v>0</v>
      </c>
      <c r="E9" s="32" t="inlineStr">
        <is>
          <t>Player_Name_Agent_01</t>
        </is>
      </c>
      <c r="F9" s="32" t="inlineStr">
        <is>
          <t>Player_Desc_Agent_01</t>
        </is>
      </c>
      <c r="G9" s="33" t="inlineStr">
        <is>
          <t>Damage</t>
        </is>
      </c>
      <c r="H9" s="31">
        <f>IFERROR(_xlfn.XLOOKUP(Character[[#This Row],[character_class]],CharacterClass[character_class],CharacterClass['#class_memo],,0),"__")</f>
        <v/>
      </c>
      <c r="I9" s="34" t="inlineStr">
        <is>
          <t>icon_hero_agent</t>
        </is>
      </c>
      <c r="J9" s="30" t="inlineStr">
        <is>
          <t>DevAssets(not packed)/_Animation/animationcontroller/player_animator_controller.controller</t>
        </is>
      </c>
      <c r="K9" s="35" t="n">
        <v>300100</v>
      </c>
      <c r="L9" s="35" t="n">
        <v>3001</v>
      </c>
      <c r="M9" s="35" t="n">
        <v>300100</v>
      </c>
      <c r="N9" s="31" t="n">
        <v>3001</v>
      </c>
      <c r="O9" s="35" t="n">
        <v>-1</v>
      </c>
    </row>
    <row r="10" ht="17.25" customFormat="1" customHeight="1" s="36" thickBot="1">
      <c r="A10" s="36" t="n">
        <v>400100</v>
      </c>
      <c r="B10" s="36" t="inlineStr">
        <is>
          <t>메카닉 (old)</t>
        </is>
      </c>
      <c r="C10" s="37" t="inlineStr">
        <is>
          <t>Player</t>
        </is>
      </c>
      <c r="D10" s="37" t="n">
        <v>0</v>
      </c>
      <c r="E10" s="38" t="inlineStr">
        <is>
          <t>Player_Name_Mechanic_01</t>
        </is>
      </c>
      <c r="F10" s="38" t="inlineStr">
        <is>
          <t>Player_Desc_Mechanic_01</t>
        </is>
      </c>
      <c r="G10" s="39" t="inlineStr">
        <is>
          <t>Support</t>
        </is>
      </c>
      <c r="H10" s="37">
        <f>IFERROR(_xlfn.XLOOKUP(Character[[#This Row],[character_class]],CharacterClass[character_class],CharacterClass['#class_memo],,0),"__")</f>
        <v/>
      </c>
      <c r="I10" s="40" t="inlineStr">
        <is>
          <t>icon_hero_mechanic</t>
        </is>
      </c>
      <c r="J10" s="36" t="inlineStr">
        <is>
          <t>DevAssets(not packed)/_Animation/animationcontroller/player_animator_controller.controller</t>
        </is>
      </c>
      <c r="K10" s="41" t="n">
        <v>400100</v>
      </c>
      <c r="L10" s="41" t="n">
        <v>4001</v>
      </c>
      <c r="M10" s="41" t="n">
        <v>400100</v>
      </c>
      <c r="N10" s="37" t="n">
        <v>4001</v>
      </c>
      <c r="O10" s="41" t="n">
        <v>-1</v>
      </c>
    </row>
    <row r="11">
      <c r="A11" t="n">
        <v>100101</v>
      </c>
      <c r="B11" t="inlineStr">
        <is>
          <t>프리드웬_bot01</t>
        </is>
      </c>
      <c r="C11" s="1" t="inlineStr">
        <is>
          <t>Player</t>
        </is>
      </c>
      <c r="D11" s="1" t="n">
        <v>0</v>
      </c>
      <c r="E11" s="5" t="inlineStr">
        <is>
          <t>Player_Name_Vanguard_01</t>
        </is>
      </c>
      <c r="F11" s="5" t="inlineStr">
        <is>
          <t>Player_Desc_Vanguard_01</t>
        </is>
      </c>
      <c r="G11" s="12" t="inlineStr">
        <is>
          <t>Tank</t>
        </is>
      </c>
      <c r="H11" s="1">
        <f>IFERROR(_xlfn.XLOOKUP(Character[[#This Row],[character_class]],CharacterClass[character_class],CharacterClass['#class_memo],,0),"__")</f>
        <v/>
      </c>
      <c r="I11" s="16" t="inlineStr">
        <is>
          <t>icon_hero_vanguard</t>
        </is>
      </c>
      <c r="J11" t="inlineStr">
        <is>
          <t>DevAssets(not packed)/_Animation/animationcontroller/player_animator_controller.controller</t>
        </is>
      </c>
      <c r="K11" s="1" t="n">
        <v>1001</v>
      </c>
      <c r="L11" s="28" t="n">
        <v>1001</v>
      </c>
      <c r="M11" s="25" t="n">
        <v>100101</v>
      </c>
      <c r="N11" s="1" t="n">
        <v>1001</v>
      </c>
      <c r="O11" s="25" t="n">
        <v>1001</v>
      </c>
    </row>
    <row r="12">
      <c r="A12" t="n">
        <v>200101</v>
      </c>
      <c r="B12" t="inlineStr">
        <is>
          <t>카야_bot01</t>
        </is>
      </c>
      <c r="C12" s="1" t="inlineStr">
        <is>
          <t>Player</t>
        </is>
      </c>
      <c r="D12" s="1" t="n">
        <v>0</v>
      </c>
      <c r="E12" s="5" t="inlineStr">
        <is>
          <t>Player_Name_Striker_01</t>
        </is>
      </c>
      <c r="F12" s="5" t="inlineStr">
        <is>
          <t>Player_Desc_Striker_01</t>
        </is>
      </c>
      <c r="G12" s="12" t="inlineStr">
        <is>
          <t>Damage</t>
        </is>
      </c>
      <c r="H12" s="1">
        <f>IFERROR(_xlfn.XLOOKUP(Character[[#This Row],[character_class]],CharacterClass[character_class],CharacterClass['#class_memo],,0),"__")</f>
        <v/>
      </c>
      <c r="I12" s="16" t="inlineStr">
        <is>
          <t>icon_hero_striker</t>
        </is>
      </c>
      <c r="J12" t="inlineStr">
        <is>
          <t>DevAssets(not packed)/_Animation/animationcontroller/player_animator_controller.controller</t>
        </is>
      </c>
      <c r="K12" s="1" t="n">
        <v>2001</v>
      </c>
      <c r="L12" s="28" t="n">
        <v>2001</v>
      </c>
      <c r="M12" s="25" t="n">
        <v>200101</v>
      </c>
      <c r="N12" s="1" t="n">
        <v>2001</v>
      </c>
      <c r="O12" s="1" t="n">
        <v>2001</v>
      </c>
    </row>
    <row r="13">
      <c r="A13" t="n">
        <v>300101</v>
      </c>
      <c r="B13" t="inlineStr">
        <is>
          <t>엔젤_bot1 (임시 카야)</t>
        </is>
      </c>
      <c r="C13" s="28" t="inlineStr">
        <is>
          <t>Player</t>
        </is>
      </c>
      <c r="D13" s="28" t="n">
        <v>0</v>
      </c>
      <c r="E13" s="28" t="inlineStr">
        <is>
          <t>Player_Name_Striker_01</t>
        </is>
      </c>
      <c r="F13" s="28" t="inlineStr">
        <is>
          <t>Player_Desc_Striker_01</t>
        </is>
      </c>
      <c r="G13" s="28" t="inlineStr">
        <is>
          <t>Damage</t>
        </is>
      </c>
      <c r="H13" s="28">
        <f>IFERROR(_xlfn.XLOOKUP(Character[[#This Row],[character_class]],CharacterClass[character_class],CharacterClass['#class_memo],,0),"__")</f>
        <v/>
      </c>
      <c r="I13" s="28" t="inlineStr">
        <is>
          <t>icon_hero_striker</t>
        </is>
      </c>
      <c r="J13" s="27" t="inlineStr">
        <is>
          <t>DevAssets(not packed)/_Animation/animationcontroller/player_animator_controller.controller</t>
        </is>
      </c>
      <c r="K13" s="1" t="n">
        <v>2001</v>
      </c>
      <c r="L13" s="28" t="n">
        <v>3001</v>
      </c>
      <c r="M13" s="28" t="n">
        <v>200101</v>
      </c>
      <c r="N13" s="28" t="n">
        <v>2001</v>
      </c>
      <c r="O13" s="28" t="n">
        <v>2001</v>
      </c>
    </row>
    <row r="14" ht="17.25" customFormat="1" customHeight="1" s="22" thickBot="1">
      <c r="A14" s="22" t="n">
        <v>400101</v>
      </c>
      <c r="B14" s="22" t="inlineStr">
        <is>
          <t>시냅스_bot1 (임시 카야)</t>
        </is>
      </c>
      <c r="C14" s="46" t="inlineStr">
        <is>
          <t>Player</t>
        </is>
      </c>
      <c r="D14" s="46" t="n">
        <v>0</v>
      </c>
      <c r="E14" s="46" t="inlineStr">
        <is>
          <t>Player_Name_Striker_01</t>
        </is>
      </c>
      <c r="F14" s="46" t="inlineStr">
        <is>
          <t>Player_Desc_Striker_01</t>
        </is>
      </c>
      <c r="G14" s="46" t="inlineStr">
        <is>
          <t>Damage</t>
        </is>
      </c>
      <c r="H14" s="46">
        <f>IFERROR(_xlfn.XLOOKUP(Character[[#This Row],[character_class]],CharacterClass[character_class],CharacterClass['#class_memo],,0),"__")</f>
        <v/>
      </c>
      <c r="I14" s="46" t="inlineStr">
        <is>
          <t>icon_hero_striker</t>
        </is>
      </c>
      <c r="J14" s="47" t="inlineStr">
        <is>
          <t>DevAssets(not packed)/_Animation/animationcontroller/player_animator_controller.controller</t>
        </is>
      </c>
      <c r="K14" s="20" t="n">
        <v>2001</v>
      </c>
      <c r="L14" s="46" t="n">
        <v>4001</v>
      </c>
      <c r="M14" s="46" t="n">
        <v>200101</v>
      </c>
      <c r="N14" s="46" t="n">
        <v>2001</v>
      </c>
      <c r="O14" s="46" t="n">
        <v>2001</v>
      </c>
    </row>
    <row r="15" ht="17.25" customHeight="1">
      <c r="A15" t="n">
        <v>3002</v>
      </c>
      <c r="B15" t="inlineStr">
        <is>
          <t>엔젤_증거인멸</t>
        </is>
      </c>
      <c r="C15" t="inlineStr">
        <is>
          <t>SkillObject</t>
        </is>
      </c>
      <c r="D15" s="18" t="n">
        <v>0</v>
      </c>
      <c r="E15" t="inlineStr">
        <is>
          <t>SkillObject_Name_Angel_02</t>
        </is>
      </c>
      <c r="F15" t="inlineStr">
        <is>
          <t>SkillObject_Desc_Angel_02</t>
        </is>
      </c>
      <c r="G15" t="inlineStr">
        <is>
          <t>Damage</t>
        </is>
      </c>
      <c r="H15">
        <f>IFERROR(_xlfn.XLOOKUP(Character[[#This Row],[character_class]],CharacterClass[character_class],CharacterClass['#class_memo],,0),"__")</f>
        <v/>
      </c>
      <c r="I15" t="inlineStr">
        <is>
          <t>icon_hero_agent</t>
        </is>
      </c>
      <c r="J15" s="18" t="inlineStr">
        <is>
          <t>None</t>
        </is>
      </c>
      <c r="K15" t="n">
        <v>3002</v>
      </c>
      <c r="L15" t="n">
        <v>3002</v>
      </c>
      <c r="M15" t="n">
        <v>-1</v>
      </c>
      <c r="N15" s="18" t="n">
        <v>3002</v>
      </c>
      <c r="O15" s="18" t="n">
        <v>-1</v>
      </c>
    </row>
    <row r="16">
      <c r="A16" t="n">
        <v>4002</v>
      </c>
      <c r="B16" t="inlineStr">
        <is>
          <t>시냅스_불확정역장</t>
        </is>
      </c>
      <c r="C16" t="inlineStr">
        <is>
          <t>SkillObject</t>
        </is>
      </c>
      <c r="D16" s="18" t="n">
        <v>0</v>
      </c>
      <c r="E16" t="inlineStr">
        <is>
          <t>SkillObject_Name_Mechanic_01</t>
        </is>
      </c>
      <c r="F16" t="inlineStr">
        <is>
          <t>SkillObject_Desc_Mechanic_01</t>
        </is>
      </c>
      <c r="G16" t="inlineStr">
        <is>
          <t>Support</t>
        </is>
      </c>
      <c r="H16">
        <f>IFERROR(_xlfn.XLOOKUP(Character[[#This Row],[character_class]],CharacterClass[character_class],CharacterClass['#class_memo],,0),"__")</f>
        <v/>
      </c>
      <c r="I16" t="inlineStr">
        <is>
          <t>icon_hero_mechanic</t>
        </is>
      </c>
      <c r="J16" s="18" t="inlineStr">
        <is>
          <t>None</t>
        </is>
      </c>
      <c r="K16" t="n">
        <v>4002</v>
      </c>
      <c r="L16" t="n">
        <v>4002</v>
      </c>
      <c r="M16" t="n">
        <v>-1</v>
      </c>
      <c r="N16" s="18" t="n">
        <v>-1</v>
      </c>
      <c r="O16" s="18" t="n">
        <v>4002</v>
      </c>
    </row>
    <row r="17">
      <c r="A17" t="n">
        <v>4003</v>
      </c>
      <c r="B17" t="inlineStr">
        <is>
          <t>시냅스_방해전파장치</t>
        </is>
      </c>
      <c r="C17" t="inlineStr">
        <is>
          <t>SkillObject</t>
        </is>
      </c>
      <c r="D17" s="18" t="n">
        <v>0</v>
      </c>
      <c r="E17" t="inlineStr">
        <is>
          <t>SkillObject_Name_Mechanic_02</t>
        </is>
      </c>
      <c r="F17" t="inlineStr">
        <is>
          <t>SkillObject_Desc_Mechanic_02</t>
        </is>
      </c>
      <c r="G17" t="inlineStr">
        <is>
          <t>Support</t>
        </is>
      </c>
      <c r="H17">
        <f>IFERROR(_xlfn.XLOOKUP(Character[[#This Row],[character_class]],CharacterClass[character_class],CharacterClass['#class_memo],,0),"__")</f>
        <v/>
      </c>
      <c r="I17" t="inlineStr">
        <is>
          <t>icon_hero_mechanic</t>
        </is>
      </c>
      <c r="J17" s="18" t="inlineStr">
        <is>
          <t>None</t>
        </is>
      </c>
      <c r="K17" t="n">
        <v>4003</v>
      </c>
      <c r="L17" t="n">
        <v>4003</v>
      </c>
      <c r="M17" t="n">
        <v>-1</v>
      </c>
      <c r="N17" s="18" t="n">
        <v>4003</v>
      </c>
      <c r="O17" s="18" t="n">
        <v>-1</v>
      </c>
    </row>
    <row r="18">
      <c r="A18" s="51" t="n">
        <v>4004</v>
      </c>
      <c r="B18" t="inlineStr">
        <is>
          <t>시냅스_바이러스노드</t>
        </is>
      </c>
      <c r="C18" t="inlineStr">
        <is>
          <t>SkillObject</t>
        </is>
      </c>
      <c r="D18" s="18" t="n">
        <v>0</v>
      </c>
      <c r="E18" t="inlineStr">
        <is>
          <t>SkillObject_Name_Mechanic_03</t>
        </is>
      </c>
      <c r="F18" t="inlineStr">
        <is>
          <t>SkillObject_Desc_Mechanic_03</t>
        </is>
      </c>
      <c r="G18" t="inlineStr">
        <is>
          <t>Support</t>
        </is>
      </c>
      <c r="H18">
        <f>IFERROR(_xlfn.XLOOKUP(Character[[#This Row],[character_class]],CharacterClass[character_class],CharacterClass['#class_memo],,0),"__")</f>
        <v/>
      </c>
      <c r="I18" t="inlineStr">
        <is>
          <t>icon_hero_mechanic</t>
        </is>
      </c>
      <c r="J18" s="18" t="inlineStr">
        <is>
          <t>None</t>
        </is>
      </c>
      <c r="K18" t="n">
        <v>4004</v>
      </c>
      <c r="L18" t="n">
        <v>4004</v>
      </c>
      <c r="M18" t="n">
        <v>-1</v>
      </c>
      <c r="N18" s="18" t="n">
        <v>4004</v>
      </c>
      <c r="O18" s="18" t="n">
        <v>-1</v>
      </c>
    </row>
    <row r="19">
      <c r="A19" t="n">
        <v>4005</v>
      </c>
      <c r="B19" t="inlineStr">
        <is>
          <t>시냅스_바이러스노드(약화)</t>
        </is>
      </c>
      <c r="C19" t="inlineStr">
        <is>
          <t>SkillObject</t>
        </is>
      </c>
      <c r="D19" s="18" t="n">
        <v>0</v>
      </c>
      <c r="E19" t="inlineStr">
        <is>
          <t>SkillObject_Name_Mechanic_04</t>
        </is>
      </c>
      <c r="F19" t="inlineStr">
        <is>
          <t>SkillObject_Desc_Mechanic_04</t>
        </is>
      </c>
      <c r="G19" t="inlineStr">
        <is>
          <t>Support</t>
        </is>
      </c>
      <c r="H19">
        <f>IFERROR(_xlfn.XLOOKUP(Character[[#This Row],[character_class]],CharacterClass[character_class],CharacterClass['#class_memo],,0),"__")</f>
        <v/>
      </c>
      <c r="I19" t="inlineStr">
        <is>
          <t>icon_hero_mechanic</t>
        </is>
      </c>
      <c r="J19" s="18" t="inlineStr">
        <is>
          <t>None</t>
        </is>
      </c>
      <c r="K19" t="n">
        <v>4005</v>
      </c>
      <c r="L19" t="n">
        <v>4005</v>
      </c>
      <c r="M19" t="n">
        <v>-1</v>
      </c>
      <c r="N19" s="53" t="n">
        <v>4005</v>
      </c>
      <c r="O19" s="18" t="n">
        <v>-1</v>
      </c>
    </row>
    <row r="20">
      <c r="A20" t="n">
        <v>4006</v>
      </c>
      <c r="B20" t="inlineStr">
        <is>
          <t>시냅스_방해전파장치_교란 필터</t>
        </is>
      </c>
      <c r="C20" t="inlineStr">
        <is>
          <t>SkillObject</t>
        </is>
      </c>
      <c r="D20" s="18" t="n">
        <v>0</v>
      </c>
      <c r="E20" t="inlineStr">
        <is>
          <t>SkillObject_Name_Mechanic_02</t>
        </is>
      </c>
      <c r="F20" t="inlineStr">
        <is>
          <t>SkillObject_Desc_Mechanic_02</t>
        </is>
      </c>
      <c r="G20" t="inlineStr">
        <is>
          <t>Support</t>
        </is>
      </c>
      <c r="H20">
        <f>IFERROR(_xlfn.XLOOKUP(Character[[#This Row],[character_class]],CharacterClass[character_class],CharacterClass['#class_memo],,0),"__")</f>
        <v/>
      </c>
      <c r="I20" t="inlineStr">
        <is>
          <t>icon_hero_mechanic</t>
        </is>
      </c>
      <c r="J20" s="18" t="inlineStr">
        <is>
          <t>None</t>
        </is>
      </c>
      <c r="K20" t="n">
        <v>4003</v>
      </c>
      <c r="L20" t="n">
        <v>4003</v>
      </c>
      <c r="M20" t="n">
        <v>-1</v>
      </c>
      <c r="N20" s="18" t="n">
        <v>4006</v>
      </c>
      <c r="O20" s="18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zoomScale="85" zoomScaleNormal="8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baseColWidth="8" defaultRowHeight="16.5"/>
  <cols>
    <col width="22.875" customWidth="1" min="1" max="1"/>
    <col width="25.625" bestFit="1" customWidth="1" min="2" max="2"/>
    <col width="12.125" customWidth="1" min="3" max="3"/>
    <col width="17.25" customWidth="1" min="4" max="4"/>
    <col width="20.375" customWidth="1" min="5" max="5"/>
    <col width="9.375" customWidth="1" min="6" max="6"/>
    <col width="16.375" bestFit="1" customWidth="1" min="7" max="7"/>
    <col width="14.875" bestFit="1" customWidth="1" min="8" max="8"/>
    <col width="15.25" bestFit="1" customWidth="1" min="9" max="9"/>
    <col width="20" bestFit="1" customWidth="1" min="10" max="10"/>
    <col width="14.625" bestFit="1" customWidth="1" min="11" max="11"/>
    <col width="15.625" bestFit="1" customWidth="1" min="12" max="12"/>
    <col width="15.75" bestFit="1" customWidth="1" min="13" max="13"/>
    <col width="30" bestFit="1" customWidth="1" min="14" max="14"/>
    <col width="30" customWidth="1" min="15" max="15"/>
    <col width="39.125" bestFit="1" customWidth="1" min="16" max="16"/>
    <col width="17" customWidth="1" min="17" max="17"/>
    <col width="16.25" customWidth="1" min="18" max="18"/>
    <col width="15.25" customWidth="1" min="19" max="19"/>
    <col width="16.375" customWidth="1" min="20" max="20"/>
    <col width="15.625" customWidth="1" min="21" max="21"/>
  </cols>
  <sheetData>
    <row r="1">
      <c r="A1" t="inlineStr">
        <is>
          <t>DataGroup</t>
        </is>
      </c>
      <c r="B1" t="inlineStr">
        <is>
          <t>CharacterAppearance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model_id</t>
        </is>
      </c>
      <c r="D2" s="1" t="inlineStr">
        <is>
          <t>is_collision_ally</t>
        </is>
      </c>
      <c r="E2" s="1" t="inlineStr">
        <is>
          <t>is_collision_enemy</t>
        </is>
      </c>
      <c r="F2" s="5" t="inlineStr">
        <is>
          <t>height</t>
        </is>
      </c>
      <c r="G2" s="5" t="inlineStr">
        <is>
          <t>height_crouch</t>
        </is>
      </c>
      <c r="H2" s="1" t="inlineStr">
        <is>
          <t>head_skin_id</t>
        </is>
      </c>
      <c r="I2" s="1" t="inlineStr">
        <is>
          <t>mask_skin_id</t>
        </is>
      </c>
      <c r="J2" s="1" t="inlineStr">
        <is>
          <t>face_paint_skin_id</t>
        </is>
      </c>
      <c r="K2" s="1" t="inlineStr">
        <is>
          <t>shirt_skin_id</t>
        </is>
      </c>
      <c r="L2" s="1" t="inlineStr">
        <is>
          <t>pants_skin_id</t>
        </is>
      </c>
      <c r="M2" s="1" t="inlineStr">
        <is>
          <t>shoes_skin_id</t>
        </is>
      </c>
      <c r="N2" s="5" t="inlineStr">
        <is>
          <t>portrait</t>
        </is>
      </c>
      <c r="O2" s="15" t="inlineStr">
        <is>
          <t>fullbody_img</t>
        </is>
      </c>
      <c r="P2" s="12" t="inlineStr">
        <is>
          <t>minimap_icon</t>
        </is>
      </c>
      <c r="Q2" s="1" t="n"/>
      <c r="R2" s="1" t="n"/>
      <c r="S2" s="1" t="n"/>
    </row>
    <row r="3">
      <c r="A3" s="1" t="n">
        <v>1001</v>
      </c>
      <c r="B3" s="1">
        <f>_xlfn.XLOOKUP(CharacterAppearance[[#This Row],[id]],Character[character_appearance_id],Character['#char_memo],,0)</f>
        <v/>
      </c>
      <c r="C3" s="1" t="n">
        <v>1001</v>
      </c>
      <c r="D3" s="1" t="n">
        <v>1</v>
      </c>
      <c r="E3" s="1" t="n">
        <v>1</v>
      </c>
      <c r="F3" s="1" t="n">
        <v>180</v>
      </c>
      <c r="G3" s="1" t="n">
        <v>120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s="16" t="inlineStr">
        <is>
          <t>portrait_hero_vanguard</t>
        </is>
      </c>
      <c r="O3" s="15" t="inlineStr">
        <is>
          <t>fullbody_character_vanguard</t>
        </is>
      </c>
      <c r="P3" s="12" t="inlineStr">
        <is>
          <t>icon_hero_vanguard</t>
        </is>
      </c>
      <c r="Q3" s="1" t="n"/>
      <c r="R3" s="1" t="n"/>
      <c r="S3" s="1" t="n"/>
    </row>
    <row r="4">
      <c r="A4" s="1" t="n">
        <v>2001</v>
      </c>
      <c r="B4" s="1">
        <f>_xlfn.XLOOKUP(CharacterAppearance[[#This Row],[id]],Character[character_appearance_id],Character['#char_memo],,0)</f>
        <v/>
      </c>
      <c r="C4" s="1" t="n">
        <v>2001</v>
      </c>
      <c r="D4" s="1" t="n">
        <v>1</v>
      </c>
      <c r="E4" s="1" t="n">
        <v>1</v>
      </c>
      <c r="F4" s="1" t="n">
        <v>180</v>
      </c>
      <c r="G4" s="1" t="n">
        <v>120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s="1" t="inlineStr">
        <is>
          <t>portrait_hero_striker</t>
        </is>
      </c>
      <c r="O4" s="15" t="inlineStr">
        <is>
          <t>fullbody_character_striker</t>
        </is>
      </c>
      <c r="P4" s="12" t="inlineStr">
        <is>
          <t>icon_hero_striker</t>
        </is>
      </c>
      <c r="Q4" s="1" t="n"/>
      <c r="R4" s="1" t="n"/>
      <c r="S4" s="1" t="n"/>
    </row>
    <row r="5">
      <c r="A5" s="1" t="n">
        <v>3001</v>
      </c>
      <c r="B5" s="1">
        <f>_xlfn.XLOOKUP(CharacterAppearance[[#This Row],[id]],Character[character_appearance_id],Character['#char_memo],,0)</f>
        <v/>
      </c>
      <c r="C5" s="1" t="n">
        <v>3001</v>
      </c>
      <c r="D5" s="1" t="n">
        <v>1</v>
      </c>
      <c r="E5" s="1" t="n">
        <v>1</v>
      </c>
      <c r="F5" s="1" t="n">
        <v>180</v>
      </c>
      <c r="G5" s="1" t="n">
        <v>120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s="1" t="inlineStr">
        <is>
          <t>portrait_hero_agent</t>
        </is>
      </c>
      <c r="O5" s="15" t="inlineStr">
        <is>
          <t>fullbody_character_agent</t>
        </is>
      </c>
      <c r="P5" s="12" t="inlineStr">
        <is>
          <t>icon_hero_agent</t>
        </is>
      </c>
      <c r="Q5" s="1" t="n"/>
      <c r="R5" s="1" t="n"/>
      <c r="S5" s="1" t="n"/>
    </row>
    <row r="6" ht="17.25" customFormat="1" customHeight="1" s="22" thickBot="1">
      <c r="A6" s="20" t="n">
        <v>4001</v>
      </c>
      <c r="B6" s="20">
        <f>_xlfn.XLOOKUP(CharacterAppearance[[#This Row],[id]],Character[character_appearance_id],Character['#char_memo],,0)</f>
        <v/>
      </c>
      <c r="C6" s="20" t="n">
        <v>4001</v>
      </c>
      <c r="D6" s="20" t="n">
        <v>1</v>
      </c>
      <c r="E6" s="20" t="n">
        <v>1</v>
      </c>
      <c r="F6" s="20" t="n">
        <v>180</v>
      </c>
      <c r="G6" s="20" t="n">
        <v>120</v>
      </c>
      <c r="H6" s="22" t="n">
        <v>-1</v>
      </c>
      <c r="I6" s="22" t="n">
        <v>-1</v>
      </c>
      <c r="J6" s="22" t="n">
        <v>-1</v>
      </c>
      <c r="K6" s="22" t="n">
        <v>-1</v>
      </c>
      <c r="L6" s="22" t="n">
        <v>-1</v>
      </c>
      <c r="M6" s="22" t="n">
        <v>-1</v>
      </c>
      <c r="N6" s="19" t="inlineStr">
        <is>
          <t>portrait_hero_mechanic</t>
        </is>
      </c>
      <c r="O6" s="24" t="inlineStr">
        <is>
          <t>fullbody_character_Mechanic</t>
        </is>
      </c>
      <c r="P6" s="21" t="inlineStr">
        <is>
          <t>icon_hero_mechanic</t>
        </is>
      </c>
      <c r="Q6" s="20" t="n"/>
      <c r="R6" s="20" t="n"/>
      <c r="S6" s="20" t="n"/>
    </row>
    <row r="7" customFormat="1" s="26">
      <c r="A7" s="26" t="n">
        <v>100100</v>
      </c>
      <c r="B7" s="26">
        <f>_xlfn.XLOOKUP(CharacterAppearance[[#This Row],[id]],Character[character_appearance_id],Character['#char_memo],,0)</f>
        <v/>
      </c>
      <c r="C7" s="42" t="n">
        <v>100100</v>
      </c>
      <c r="D7" s="42" t="n">
        <v>1</v>
      </c>
      <c r="E7" s="42" t="n">
        <v>1</v>
      </c>
      <c r="F7" s="42" t="n">
        <v>180</v>
      </c>
      <c r="G7" s="42" t="n">
        <v>120</v>
      </c>
      <c r="H7" s="42" t="n">
        <v>-1</v>
      </c>
      <c r="I7" s="42" t="n">
        <v>-1</v>
      </c>
      <c r="J7" s="42" t="n">
        <v>-1</v>
      </c>
      <c r="K7" s="42" t="n">
        <v>-1</v>
      </c>
      <c r="L7" s="42" t="n">
        <v>-1</v>
      </c>
      <c r="M7" s="42" t="n">
        <v>-1</v>
      </c>
      <c r="N7" s="42" t="inlineStr">
        <is>
          <t>portrait_hero_vanguard</t>
        </is>
      </c>
      <c r="O7" s="42" t="inlineStr">
        <is>
          <t>fullbody_character_vanguard</t>
        </is>
      </c>
      <c r="P7" s="42" t="inlineStr">
        <is>
          <t>icon_hero_vanguard</t>
        </is>
      </c>
      <c r="Q7" s="42" t="n"/>
    </row>
    <row r="8" customFormat="1" s="26">
      <c r="A8" s="26" t="n">
        <v>200100</v>
      </c>
      <c r="B8" s="26">
        <f>_xlfn.XLOOKUP(CharacterAppearance[[#This Row],[id]],Character[character_appearance_id],Character['#char_memo],,0)</f>
        <v/>
      </c>
      <c r="C8" s="26" t="n">
        <v>200100</v>
      </c>
      <c r="D8" s="26" t="n">
        <v>1</v>
      </c>
      <c r="E8" s="26" t="n">
        <v>1</v>
      </c>
      <c r="F8" s="26" t="n">
        <v>180</v>
      </c>
      <c r="G8" s="42" t="n">
        <v>120</v>
      </c>
      <c r="H8" s="26" t="n">
        <v>-1</v>
      </c>
      <c r="I8" s="26" t="n">
        <v>-1</v>
      </c>
      <c r="J8" s="26" t="n">
        <v>-1</v>
      </c>
      <c r="K8" s="26" t="n">
        <v>-1</v>
      </c>
      <c r="L8" s="26" t="n">
        <v>-1</v>
      </c>
      <c r="M8" s="26" t="n">
        <v>-1</v>
      </c>
      <c r="N8" s="42" t="inlineStr">
        <is>
          <t>portrait_hero_striker</t>
        </is>
      </c>
      <c r="O8" s="42" t="inlineStr">
        <is>
          <t>fullbody_character_striker</t>
        </is>
      </c>
      <c r="P8" s="42" t="inlineStr">
        <is>
          <t>icon_hero_striker</t>
        </is>
      </c>
    </row>
    <row r="9" customFormat="1" s="26">
      <c r="A9" s="26" t="n">
        <v>300100</v>
      </c>
      <c r="B9" s="26">
        <f>_xlfn.XLOOKUP(CharacterAppearance[[#This Row],[id]],Character[character_appearance_id],Character['#char_memo],,0)</f>
        <v/>
      </c>
      <c r="C9" s="26" t="n">
        <v>300100</v>
      </c>
      <c r="D9" s="26" t="n">
        <v>1</v>
      </c>
      <c r="E9" s="26" t="n">
        <v>1</v>
      </c>
      <c r="F9" s="26" t="n">
        <v>180</v>
      </c>
      <c r="G9" s="42" t="n">
        <v>120</v>
      </c>
      <c r="H9" s="26" t="n">
        <v>-1</v>
      </c>
      <c r="I9" s="26" t="n">
        <v>-1</v>
      </c>
      <c r="J9" s="26" t="n">
        <v>-1</v>
      </c>
      <c r="K9" s="26" t="n">
        <v>-1</v>
      </c>
      <c r="L9" s="26" t="n">
        <v>-1</v>
      </c>
      <c r="M9" s="26" t="n">
        <v>-1</v>
      </c>
      <c r="N9" s="42" t="inlineStr">
        <is>
          <t>portrait_hero_agent</t>
        </is>
      </c>
      <c r="O9" s="42" t="inlineStr">
        <is>
          <t>fullbody_character_agent</t>
        </is>
      </c>
      <c r="P9" s="42" t="inlineStr">
        <is>
          <t>icon_hero_agent</t>
        </is>
      </c>
    </row>
    <row r="10" customFormat="1" s="26">
      <c r="A10" s="26" t="n">
        <v>400100</v>
      </c>
      <c r="B10" s="26">
        <f>_xlfn.XLOOKUP(CharacterAppearance[[#This Row],[id]],Character[character_appearance_id],Character['#char_memo],,0)</f>
        <v/>
      </c>
      <c r="C10" s="26" t="n">
        <v>400100</v>
      </c>
      <c r="D10" s="26" t="n">
        <v>1</v>
      </c>
      <c r="E10" s="26" t="n">
        <v>1</v>
      </c>
      <c r="F10" s="26" t="n">
        <v>180</v>
      </c>
      <c r="G10" s="42" t="n">
        <v>120</v>
      </c>
      <c r="H10" s="26" t="n">
        <v>-1</v>
      </c>
      <c r="I10" s="26" t="n">
        <v>-1</v>
      </c>
      <c r="J10" s="26" t="n">
        <v>-1</v>
      </c>
      <c r="K10" s="26" t="n">
        <v>-1</v>
      </c>
      <c r="L10" s="26" t="n">
        <v>-1</v>
      </c>
      <c r="M10" s="26" t="n">
        <v>-1</v>
      </c>
      <c r="N10" s="42" t="inlineStr">
        <is>
          <t>portrait_hero_mechanic</t>
        </is>
      </c>
      <c r="O10" s="42" t="inlineStr">
        <is>
          <t>fullbody_character_Mechanic</t>
        </is>
      </c>
      <c r="P10" s="42" t="inlineStr">
        <is>
          <t>icon_hero_mechanic</t>
        </is>
      </c>
    </row>
    <row r="11" customFormat="1" s="26">
      <c r="A11" s="48" t="n">
        <v>3002</v>
      </c>
      <c r="B11">
        <f>_xlfn.XLOOKUP(CharacterAppearance[[#This Row],[id]],Character[character_appearance_id],Character['#char_memo],,0)</f>
        <v/>
      </c>
      <c r="C11" t="n">
        <v>3002</v>
      </c>
      <c r="D11" t="n">
        <v>0</v>
      </c>
      <c r="E11" t="n">
        <v>0</v>
      </c>
      <c r="F11" s="27" t="n">
        <v>40</v>
      </c>
      <c r="G11" s="28" t="n">
        <v>40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s="18" t="n"/>
      <c r="O11" s="18" t="n"/>
      <c r="P11" s="18" t="n"/>
    </row>
    <row r="12">
      <c r="A12" s="48" t="n">
        <v>4002</v>
      </c>
      <c r="B12">
        <f>_xlfn.XLOOKUP(CharacterAppearance[[#This Row],[id]],Character[character_appearance_id],Character['#char_memo],,0)</f>
        <v/>
      </c>
      <c r="C12" t="n">
        <v>4002</v>
      </c>
      <c r="D12" t="n">
        <v>1</v>
      </c>
      <c r="E12" t="n">
        <v>1</v>
      </c>
      <c r="F12" s="27" t="n">
        <v>180</v>
      </c>
      <c r="G12" s="28" t="n">
        <v>120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s="18" t="n"/>
      <c r="O12" s="18" t="n"/>
      <c r="P12" s="18" t="n"/>
    </row>
    <row r="13">
      <c r="A13" s="50" t="n">
        <v>4003</v>
      </c>
      <c r="B13">
        <f>_xlfn.XLOOKUP(CharacterAppearance[[#This Row],[id]],Character[character_appearance_id],Character['#char_memo],,0)</f>
        <v/>
      </c>
      <c r="C13" s="49" t="n">
        <v>4003</v>
      </c>
      <c r="D13" t="n">
        <v>1</v>
      </c>
      <c r="E13" t="n">
        <v>1</v>
      </c>
      <c r="F13" s="27" t="n">
        <v>180</v>
      </c>
      <c r="G13" s="28" t="n">
        <v>120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s="18" t="n"/>
      <c r="O13" s="18" t="n"/>
      <c r="P13" s="18" t="n"/>
    </row>
    <row r="14">
      <c r="A14" t="n">
        <v>4004</v>
      </c>
      <c r="B14">
        <f>_xlfn.XLOOKUP(CharacterAppearance[[#This Row],[id]],Character[character_appearance_id],Character['#char_memo],,0)</f>
        <v/>
      </c>
      <c r="C14" t="n">
        <v>4004</v>
      </c>
      <c r="D14" t="n">
        <v>1</v>
      </c>
      <c r="E14" t="n">
        <v>1</v>
      </c>
      <c r="F14" s="27" t="n">
        <v>180</v>
      </c>
      <c r="G14" s="28" t="n">
        <v>120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s="18" t="n"/>
      <c r="O14" s="18" t="n"/>
      <c r="P14" s="18" t="n"/>
    </row>
    <row r="15">
      <c r="A15" t="n">
        <v>4005</v>
      </c>
      <c r="B15">
        <f>_xlfn.XLOOKUP(CharacterAppearance[[#This Row],[id]],Character[character_appearance_id],Character['#char_memo],,0)</f>
        <v/>
      </c>
      <c r="C15" t="n">
        <v>4005</v>
      </c>
      <c r="D15" t="n">
        <v>1</v>
      </c>
      <c r="E15" t="n">
        <v>1</v>
      </c>
      <c r="F15" s="27" t="n">
        <v>180</v>
      </c>
      <c r="G15" s="28" t="n">
        <v>120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s="53" t="n"/>
      <c r="O15" s="53" t="n"/>
      <c r="P15" s="53" t="n"/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51"/>
  <sheetViews>
    <sheetView tabSelected="1" zoomScale="85" zoomScaleNormal="85" workbookViewId="0">
      <pane xSplit="3" ySplit="2" topLeftCell="CM3" activePane="bottomRight" state="frozen"/>
      <selection pane="topRight" activeCell="C1" sqref="C1"/>
      <selection pane="bottomLeft" activeCell="A3" sqref="A3"/>
      <selection pane="bottomRight" activeCell="CN8" sqref="CN8"/>
    </sheetView>
  </sheetViews>
  <sheetFormatPr baseColWidth="8" defaultColWidth="21.25" defaultRowHeight="16.5"/>
  <cols>
    <col width="11" bestFit="1" customWidth="1" min="1" max="1"/>
    <col width="11" customWidth="1" style="44" min="2" max="2"/>
    <col width="30.625" bestFit="1" customWidth="1" min="3" max="3"/>
    <col width="13.875" bestFit="1" customWidth="1" min="4" max="4"/>
    <col width="15.375" bestFit="1" customWidth="1" min="5" max="5"/>
    <col width="14.5" bestFit="1" customWidth="1" min="6" max="6"/>
    <col width="23.625" bestFit="1" customWidth="1" min="7" max="7"/>
    <col width="20.375" bestFit="1" customWidth="1" min="8" max="8"/>
    <col width="21.875" bestFit="1" customWidth="1" min="9" max="9"/>
    <col width="19.75" bestFit="1" customWidth="1" min="10" max="10"/>
    <col width="21.125" bestFit="1" customWidth="1" min="11" max="11"/>
    <col width="11.875" bestFit="1" customWidth="1" min="12" max="12"/>
    <col width="15" bestFit="1" customWidth="1" min="13" max="13"/>
    <col width="19.375" bestFit="1" customWidth="1" min="14" max="14"/>
    <col width="22.5" bestFit="1" customWidth="1" min="15" max="15"/>
    <col width="22" bestFit="1" customWidth="1" min="16" max="16"/>
    <col width="31.875" bestFit="1" customWidth="1" min="17" max="17"/>
    <col width="22.5" customWidth="1" min="18" max="18"/>
    <col width="32.625" bestFit="1" customWidth="1" min="19" max="19"/>
    <col outlineLevel="1" width="16.5" customWidth="1" min="20" max="20"/>
    <col outlineLevel="1" width="25.25" customWidth="1" min="21" max="22"/>
    <col outlineLevel="1" width="24.875" customWidth="1" min="23" max="23"/>
    <col outlineLevel="1" width="26.25" customWidth="1" min="24" max="24"/>
    <col outlineLevel="1" width="11.125" customWidth="1" min="25" max="25"/>
    <col outlineLevel="1" width="17.625" customWidth="1" min="26" max="30"/>
    <col outlineLevel="1" width="31.625" customWidth="1" min="31" max="31"/>
    <col outlineLevel="1" width="30.625" customWidth="1" min="32" max="32"/>
    <col outlineLevel="1" width="27.875" customWidth="1" min="33" max="33"/>
    <col outlineLevel="1" width="18.125" customWidth="1" min="34" max="36"/>
    <col outlineLevel="1" width="23.25" customWidth="1" min="37" max="37"/>
    <col outlineLevel="1" width="15" customWidth="1" min="38" max="38"/>
    <col outlineLevel="1" width="29.875" customWidth="1" min="39" max="41"/>
    <col outlineLevel="1" width="33.75" customWidth="1" min="42" max="42"/>
    <col outlineLevel="1" width="30.25" customWidth="1" min="43" max="44"/>
    <col outlineLevel="1" width="32.875" customWidth="1" min="45" max="45"/>
    <col outlineLevel="1" width="32.375" customWidth="1" min="46" max="46"/>
    <col outlineLevel="1" width="30.625" customWidth="1" min="47" max="47"/>
    <col outlineLevel="1" width="34.875" customWidth="1" min="48" max="48"/>
    <col outlineLevel="1" width="31.25" customWidth="1" min="49" max="49"/>
    <col outlineLevel="1" width="31.125" customWidth="1" min="50" max="50"/>
    <col outlineLevel="1" width="33.75" customWidth="1" min="51" max="51"/>
    <col outlineLevel="1" width="33.125" customWidth="1" min="52" max="52"/>
    <col outlineLevel="1" width="21.125" customWidth="1" min="53" max="53"/>
    <col outlineLevel="1" width="19.125" customWidth="1" min="54" max="54"/>
    <col outlineLevel="1" width="21" customWidth="1" min="55" max="55"/>
    <col outlineLevel="1" width="20.875" customWidth="1" min="56" max="56"/>
    <col outlineLevel="1" width="22.75" customWidth="1" min="57" max="57"/>
    <col outlineLevel="1" width="22.375" customWidth="1" min="58" max="58"/>
    <col outlineLevel="1" width="12.625" customWidth="1" min="59" max="59"/>
    <col outlineLevel="1" width="12.125" customWidth="1" min="60" max="60"/>
    <col outlineLevel="1" width="27" customWidth="1" min="61" max="61"/>
    <col outlineLevel="1" width="25.375" customWidth="1" min="62" max="62"/>
    <col outlineLevel="1" width="24.875" customWidth="1" min="63" max="63"/>
    <col outlineLevel="1" width="16.25" customWidth="1" min="64" max="64"/>
    <col outlineLevel="1" width="22.25" customWidth="1" min="65" max="65"/>
    <col outlineLevel="1" width="27.5" customWidth="1" min="66" max="66"/>
    <col outlineLevel="1" collapsed="1" width="29.875" customWidth="1" min="67" max="67"/>
    <col outlineLevel="1" width="27.75" customWidth="1" min="68" max="68"/>
    <col outlineLevel="1" width="22.375" customWidth="1" min="69" max="69"/>
    <col outlineLevel="1" width="31.5" customWidth="1" min="70" max="70"/>
    <col outlineLevel="1" width="21.75" customWidth="1" min="71" max="71"/>
    <col outlineLevel="1" width="19.5" customWidth="1" min="72" max="72"/>
    <col outlineLevel="1" width="16.125" customWidth="1" min="73" max="73"/>
    <col outlineLevel="1" width="26.625" customWidth="1" min="74" max="74"/>
    <col outlineLevel="1" width="14.625" customWidth="1" min="75" max="75"/>
    <col outlineLevel="1" width="16" customWidth="1" min="76" max="77"/>
    <col outlineLevel="1" width="12.125" customWidth="1" min="78" max="78"/>
    <col outlineLevel="1" width="16.5" customWidth="1" min="79" max="79"/>
    <col outlineLevel="1" width="22.125" customWidth="1" min="80" max="80"/>
    <col outlineLevel="1" width="23.375" customWidth="1" min="81" max="81"/>
    <col outlineLevel="1" width="27" customWidth="1" min="82" max="82"/>
    <col outlineLevel="1" width="17.75" customWidth="1" min="83" max="84"/>
    <col outlineLevel="1" width="26.25" customWidth="1" min="85" max="85"/>
    <col outlineLevel="1" width="31.25" customWidth="1" min="86" max="88"/>
    <col outlineLevel="1" width="29.875" customWidth="1" min="89" max="90"/>
    <col outlineLevel="1" width="20.875" customWidth="1" min="91" max="91"/>
    <col outlineLevel="1" collapsed="1" width="30.125" customWidth="1" min="92" max="92"/>
    <col outlineLevel="1" width="18.25" customWidth="1" min="93" max="93"/>
    <col outlineLevel="1" width="22" customWidth="1" min="94" max="94"/>
    <col outlineLevel="1" width="17.25" customWidth="1" min="95" max="95"/>
    <col width="21.25" customWidth="1" min="96" max="96"/>
  </cols>
  <sheetData>
    <row r="1">
      <c r="A1" t="inlineStr">
        <is>
          <t>DataGroup</t>
        </is>
      </c>
      <c r="B1" s="1" t="inlineStr">
        <is>
          <t>CharacterStat</t>
        </is>
      </c>
      <c r="J1" t="inlineStr">
        <is>
          <t>0: 바로 죽음 처리</t>
        </is>
      </c>
    </row>
    <row r="2">
      <c r="A2" t="inlineStr">
        <is>
          <t>id</t>
        </is>
      </c>
      <c r="B2" t="inlineStr">
        <is>
          <t>level</t>
        </is>
      </c>
      <c r="C2" t="inlineStr">
        <is>
          <t>#char_memo</t>
        </is>
      </c>
      <c r="D2" t="inlineStr">
        <is>
          <t>max_health</t>
        </is>
      </c>
      <c r="E2" t="inlineStr">
        <is>
          <t>health_regen</t>
        </is>
      </c>
      <c r="F2" t="inlineStr">
        <is>
          <t>max_energy</t>
        </is>
      </c>
      <c r="G2" t="inlineStr">
        <is>
          <t>energy_gain_modifier</t>
        </is>
      </c>
      <c r="H2" t="inlineStr">
        <is>
          <t>max_innate_shield</t>
        </is>
      </c>
      <c r="I2" t="inlineStr">
        <is>
          <t>innate_shield_regen</t>
        </is>
      </c>
      <c r="J2" t="inlineStr">
        <is>
          <t>dbno_max_health</t>
        </is>
      </c>
      <c r="K2" t="inlineStr">
        <is>
          <t>dbno_health_regen</t>
        </is>
      </c>
      <c r="L2" t="inlineStr">
        <is>
          <t>heal_rate</t>
        </is>
      </c>
      <c r="M2" t="inlineStr">
        <is>
          <t>heal_by_rate</t>
        </is>
      </c>
      <c r="N2" t="inlineStr">
        <is>
          <t>temp_shield_rate</t>
        </is>
      </c>
      <c r="O2" t="inlineStr">
        <is>
          <t>temp_shield_by_rate</t>
        </is>
      </c>
      <c r="P2" t="inlineStr">
        <is>
          <t>damage_rate</t>
        </is>
      </c>
      <c r="Q2" t="inlineStr">
        <is>
          <t>damage_reduction_rate</t>
        </is>
      </c>
      <c r="R2" t="inlineStr">
        <is>
          <t>bullet_damage_rate</t>
        </is>
      </c>
      <c r="S2" t="inlineStr">
        <is>
          <t>bullet_damage_reduction_rate</t>
        </is>
      </c>
      <c r="T2" t="inlineStr">
        <is>
          <t>splash_damage_rate</t>
        </is>
      </c>
      <c r="U2" t="inlineStr">
        <is>
          <t>splash_damage_reduction_rate</t>
        </is>
      </c>
      <c r="V2" t="inlineStr">
        <is>
          <t>damage_base</t>
        </is>
      </c>
      <c r="W2" t="inlineStr">
        <is>
          <t>damage_head_modifier</t>
        </is>
      </c>
      <c r="X2" t="inlineStr">
        <is>
          <t>damage_body_modifier</t>
        </is>
      </c>
      <c r="Y2" t="inlineStr">
        <is>
          <t>damage_limb_modifier</t>
        </is>
      </c>
      <c r="Z2" t="inlineStr">
        <is>
          <t>damage_shield_modifier</t>
        </is>
      </c>
      <c r="AA2" t="inlineStr">
        <is>
          <t>damage_self_value</t>
        </is>
      </c>
      <c r="AB2" t="inlineStr">
        <is>
          <t>damage_ally_value</t>
        </is>
      </c>
      <c r="AC2" t="inlineStr">
        <is>
          <t>damage_enemy_value</t>
        </is>
      </c>
      <c r="AD2" t="inlineStr">
        <is>
          <t>heal_base</t>
        </is>
      </c>
      <c r="AE2" t="inlineStr">
        <is>
          <t>fire_rate</t>
        </is>
      </c>
      <c r="AF2" t="inlineStr">
        <is>
          <t>effective_range</t>
        </is>
      </c>
      <c r="AG2" t="inlineStr">
        <is>
          <t>damage_falloff_start_distance</t>
        </is>
      </c>
      <c r="AH2" t="inlineStr">
        <is>
          <t>damage_falloff_end_distance</t>
        </is>
      </c>
      <c r="AI2" t="inlineStr">
        <is>
          <t>damage_falloff_min_value</t>
        </is>
      </c>
      <c r="AJ2" t="inlineStr">
        <is>
          <t>mag_capacity_1</t>
        </is>
      </c>
      <c r="AK2" t="inlineStr">
        <is>
          <t>mag_capacity_2</t>
        </is>
      </c>
      <c r="AL2" t="inlineStr">
        <is>
          <t>mag_capacity_3</t>
        </is>
      </c>
      <c r="AM2" t="inlineStr">
        <is>
          <t>no_anim_reload_time</t>
        </is>
      </c>
      <c r="AN2" t="inlineStr">
        <is>
          <t>reload_time</t>
        </is>
      </c>
      <c r="AO2" t="inlineStr">
        <is>
          <t>reload_speed</t>
        </is>
      </c>
      <c r="AP2" t="inlineStr">
        <is>
          <t>move_speed</t>
        </is>
      </c>
      <c r="AQ2" t="inlineStr">
        <is>
          <t>move_speed_rate_stand_hip</t>
        </is>
      </c>
      <c r="AR2" t="inlineStr">
        <is>
          <t>move_speed_rate_stand_hip_fire</t>
        </is>
      </c>
      <c r="AS2" t="inlineStr">
        <is>
          <t>move_speed_rate_stand_aim</t>
        </is>
      </c>
      <c r="AT2" t="inlineStr">
        <is>
          <t>move_speed_rate_stand_ads</t>
        </is>
      </c>
      <c r="AU2" t="inlineStr">
        <is>
          <t>move_speed_rate_stand_reload</t>
        </is>
      </c>
      <c r="AV2" t="inlineStr">
        <is>
          <t>move_speed_rate_stand_equip</t>
        </is>
      </c>
      <c r="AW2" t="inlineStr">
        <is>
          <t>move_speed_rate_crouch_hip</t>
        </is>
      </c>
      <c r="AX2" t="inlineStr">
        <is>
          <t>move_speed_rate_crouch_hip_fire</t>
        </is>
      </c>
      <c r="AY2" t="inlineStr">
        <is>
          <t>move_speed_rate_crouch_aim</t>
        </is>
      </c>
      <c r="AZ2" t="inlineStr">
        <is>
          <t>move_speed_rate_crouch_ads</t>
        </is>
      </c>
      <c r="BA2" t="inlineStr">
        <is>
          <t>move_speed_rate_crouch_reload</t>
        </is>
      </c>
      <c r="BB2" t="inlineStr">
        <is>
          <t>move_speed_rate_crouch_equip</t>
        </is>
      </c>
      <c r="BC2" t="inlineStr">
        <is>
          <t>deviation_standing</t>
        </is>
      </c>
      <c r="BD2" t="inlineStr">
        <is>
          <t>deviation_crouch</t>
        </is>
      </c>
      <c r="BE2" t="inlineStr">
        <is>
          <t>deviation_rate_aim</t>
        </is>
      </c>
      <c r="BF2" t="inlineStr">
        <is>
          <t>deviation_rate_ads</t>
        </is>
      </c>
      <c r="BG2" t="inlineStr">
        <is>
          <t>deviation_rate_move</t>
        </is>
      </c>
      <c r="BH2" t="inlineStr">
        <is>
          <t>deviation_rate_jump</t>
        </is>
      </c>
      <c r="BI2" t="inlineStr">
        <is>
          <t>moa_base</t>
        </is>
      </c>
      <c r="BJ2" t="inlineStr">
        <is>
          <t>moa_max</t>
        </is>
      </c>
      <c r="BK2" t="inlineStr">
        <is>
          <t>moa_increment_per_shot</t>
        </is>
      </c>
      <c r="BL2" t="inlineStr">
        <is>
          <t>moa_bonus_shot_count</t>
        </is>
      </c>
      <c r="BM2" t="inlineStr">
        <is>
          <t>moa_bonus_reset_time</t>
        </is>
      </c>
      <c r="BN2" t="inlineStr">
        <is>
          <t>moa_recovery</t>
        </is>
      </c>
      <c r="BO2" t="inlineStr">
        <is>
          <t>moa_recovery_delay</t>
        </is>
      </c>
      <c r="BP2" t="inlineStr">
        <is>
          <t>aim_assist_hip_fire_radius</t>
        </is>
      </c>
      <c r="BQ2" t="inlineStr">
        <is>
          <t>aim_assist_ads_enter_raidus</t>
        </is>
      </c>
      <c r="BR2" t="inlineStr">
        <is>
          <t>aim_assist_ads_fire_radius</t>
        </is>
      </c>
      <c r="BS2" t="inlineStr">
        <is>
          <t>aim_assist_keep_fire</t>
        </is>
      </c>
      <c r="BT2" t="inlineStr">
        <is>
          <t>aim_assist_keep_recover_time</t>
        </is>
      </c>
      <c r="BU2" t="inlineStr">
        <is>
          <t>aim_assist_duration</t>
        </is>
      </c>
      <c r="BV2" t="inlineStr">
        <is>
          <t>burst_shot_count</t>
        </is>
      </c>
      <c r="BW2" t="inlineStr">
        <is>
          <t>burst_interval</t>
        </is>
      </c>
      <c r="BX2" t="inlineStr">
        <is>
          <t>burst_min_input_interval</t>
        </is>
      </c>
      <c r="BY2" t="inlineStr">
        <is>
          <t>burst_final_shot_modifier</t>
        </is>
      </c>
      <c r="BZ2" t="inlineStr">
        <is>
          <t>pellet_count</t>
        </is>
      </c>
      <c r="CA2" t="inlineStr">
        <is>
          <t>pellet_spread</t>
        </is>
      </c>
      <c r="CB2" t="inlineStr">
        <is>
          <t>heat_max</t>
        </is>
      </c>
      <c r="CC2" t="inlineStr">
        <is>
          <t>heat_per_shot</t>
        </is>
      </c>
      <c r="CD2" t="inlineStr">
        <is>
          <t>heat_cooldown_rate</t>
        </is>
      </c>
      <c r="CE2" t="inlineStr">
        <is>
          <t>heat_cooldown_delay</t>
        </is>
      </c>
      <c r="CF2" t="inlineStr">
        <is>
          <t>overheat_cooldown_time</t>
        </is>
      </c>
      <c r="CG2" t="inlineStr">
        <is>
          <t>durability_head</t>
        </is>
      </c>
      <c r="CH2" t="inlineStr">
        <is>
          <t>durability_body</t>
        </is>
      </c>
      <c r="CI2" t="inlineStr">
        <is>
          <t>damage_reduction_base</t>
        </is>
      </c>
      <c r="CJ2" t="inlineStr">
        <is>
          <t>damage_reduction_rate_head</t>
        </is>
      </c>
      <c r="CK2" t="inlineStr">
        <is>
          <t>damage_reduction_rate_body</t>
        </is>
      </c>
      <c r="CL2" t="inlineStr">
        <is>
          <t>damage_reduction_rate_limb</t>
        </is>
      </c>
      <c r="CM2" t="inlineStr">
        <is>
          <t>damage_transfer_rate_head</t>
        </is>
      </c>
      <c r="CN2" t="inlineStr">
        <is>
          <t>damage_transfer_rate_body</t>
        </is>
      </c>
      <c r="CO2" t="inlineStr">
        <is>
          <t>skill_damage_rate</t>
        </is>
      </c>
      <c r="CP2" t="inlineStr">
        <is>
          <t>skill_damage_reduction_rate</t>
        </is>
      </c>
      <c r="CQ2" t="inlineStr">
        <is>
          <t>skill_speed_rate</t>
        </is>
      </c>
      <c r="CR2" t="inlineStr">
        <is>
          <t>skill_cooldown_haste</t>
        </is>
      </c>
      <c r="CS2" t="inlineStr">
        <is>
          <t>post_fire_delay</t>
        </is>
      </c>
      <c r="CT2" t="inlineStr">
        <is>
          <t>force_delay_rate</t>
        </is>
      </c>
      <c r="CU2" t="inlineStr">
        <is>
          <t>draw_duration</t>
        </is>
      </c>
      <c r="CV2" t="inlineStr">
        <is>
          <t>fire_hit_energy_gain</t>
        </is>
      </c>
      <c r="CW2" t="inlineStr">
        <is>
          <t>energy_gain_head_modifier</t>
        </is>
      </c>
      <c r="CX2" t="inlineStr">
        <is>
          <t>innate_shield_regen_draw</t>
        </is>
      </c>
      <c r="CY2" t="inlineStr">
        <is>
          <t>innate_shield_regen_sheath</t>
        </is>
      </c>
      <c r="CZ2" t="inlineStr">
        <is>
          <t>stun_duration</t>
        </is>
      </c>
      <c r="DA2" t="inlineStr">
        <is>
          <t>negative_speed_duration</t>
        </is>
      </c>
      <c r="DB2" t="inlineStr">
        <is>
          <t>charge_max_time</t>
        </is>
      </c>
      <c r="DC2" t="inlineStr">
        <is>
          <t>charge_tier</t>
        </is>
      </c>
      <c r="DD2" t="inlineStr">
        <is>
          <t>charge_damage_modifier_per_tier</t>
        </is>
      </c>
      <c r="DE2" t="inlineStr">
        <is>
          <t>charge_damage_modifier_max</t>
        </is>
      </c>
      <c r="DF2" t="inlineStr">
        <is>
          <t>charge_ammo_consume_modifier_per_tier</t>
        </is>
      </c>
      <c r="DG2" t="inlineStr">
        <is>
          <t>damage_no_shield_modifier</t>
        </is>
      </c>
    </row>
    <row r="3">
      <c r="A3" t="n">
        <v>1001</v>
      </c>
      <c r="B3" t="n">
        <v>1</v>
      </c>
      <c r="C3" t="inlineStr">
        <is>
          <t>뱅가드</t>
        </is>
      </c>
      <c r="D3" t="n">
        <v>250</v>
      </c>
      <c r="E3" t="n">
        <v>0</v>
      </c>
      <c r="F3" t="n">
        <v>13000</v>
      </c>
      <c r="G3" t="n">
        <v>10000</v>
      </c>
      <c r="H3" t="n">
        <v>200</v>
      </c>
      <c r="I3" t="n">
        <v>65</v>
      </c>
      <c r="J3" t="n">
        <v>0</v>
      </c>
      <c r="K3" t="n">
        <v>-10</v>
      </c>
      <c r="L3" t="n">
        <v>10000</v>
      </c>
      <c r="M3" t="n">
        <v>10000</v>
      </c>
      <c r="N3" t="n">
        <v>10000</v>
      </c>
      <c r="O3" t="n">
        <v>10000</v>
      </c>
      <c r="P3" t="n">
        <v>10000</v>
      </c>
      <c r="Q3" t="n">
        <v>0</v>
      </c>
      <c r="R3" t="n">
        <v>10000</v>
      </c>
      <c r="S3" t="n">
        <v>0</v>
      </c>
      <c r="T3" t="n">
        <v>10000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10000</v>
      </c>
      <c r="AP3" t="n">
        <v>50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10000</v>
      </c>
      <c r="CP3" t="n">
        <v>0</v>
      </c>
      <c r="CQ3" t="n">
        <v>10000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10000</v>
      </c>
      <c r="DA3" t="n">
        <v>10000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1001</v>
      </c>
      <c r="B4" t="n">
        <v>2</v>
      </c>
      <c r="C4" t="inlineStr">
        <is>
          <t>뱅가드</t>
        </is>
      </c>
      <c r="D4" t="n">
        <v>250</v>
      </c>
      <c r="E4" t="n">
        <v>0</v>
      </c>
      <c r="F4" t="n">
        <v>13000</v>
      </c>
      <c r="G4" t="n">
        <v>10000</v>
      </c>
      <c r="H4" t="n">
        <v>200</v>
      </c>
      <c r="I4" t="n">
        <v>65</v>
      </c>
      <c r="J4" t="n">
        <v>0</v>
      </c>
      <c r="K4" t="n">
        <v>-10</v>
      </c>
      <c r="L4" t="n">
        <v>10000</v>
      </c>
      <c r="M4" t="n">
        <v>10000</v>
      </c>
      <c r="N4" t="n">
        <v>10000</v>
      </c>
      <c r="O4" t="n">
        <v>10000</v>
      </c>
      <c r="P4" t="n">
        <v>10000</v>
      </c>
      <c r="Q4" t="n">
        <v>0</v>
      </c>
      <c r="R4" t="n">
        <v>10000</v>
      </c>
      <c r="S4" t="n">
        <v>0</v>
      </c>
      <c r="T4" t="n">
        <v>10000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10000</v>
      </c>
      <c r="AP4" t="n">
        <v>50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10000</v>
      </c>
      <c r="CP4" t="n">
        <v>0</v>
      </c>
      <c r="CQ4" t="n">
        <v>10000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10000</v>
      </c>
      <c r="DA4" t="n">
        <v>10000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1001</v>
      </c>
      <c r="B5" t="n">
        <v>3</v>
      </c>
      <c r="C5" t="inlineStr">
        <is>
          <t>뱅가드</t>
        </is>
      </c>
      <c r="D5" t="n">
        <v>250</v>
      </c>
      <c r="E5" t="n">
        <v>0</v>
      </c>
      <c r="F5" t="n">
        <v>13000</v>
      </c>
      <c r="G5" t="n">
        <v>10000</v>
      </c>
      <c r="H5" t="n">
        <v>200</v>
      </c>
      <c r="I5" t="n">
        <v>65</v>
      </c>
      <c r="J5" t="n">
        <v>0</v>
      </c>
      <c r="K5" t="n">
        <v>-10</v>
      </c>
      <c r="L5" t="n">
        <v>10000</v>
      </c>
      <c r="M5" t="n">
        <v>10000</v>
      </c>
      <c r="N5" t="n">
        <v>10000</v>
      </c>
      <c r="O5" t="n">
        <v>10000</v>
      </c>
      <c r="P5" t="n">
        <v>10000</v>
      </c>
      <c r="Q5" t="n">
        <v>0</v>
      </c>
      <c r="R5" t="n">
        <v>10000</v>
      </c>
      <c r="S5" t="n">
        <v>0</v>
      </c>
      <c r="T5" t="n">
        <v>10000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10000</v>
      </c>
      <c r="AP5" t="n">
        <v>50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10000</v>
      </c>
      <c r="CP5" t="n">
        <v>0</v>
      </c>
      <c r="CQ5" t="n">
        <v>10000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10000</v>
      </c>
      <c r="DA5" t="n">
        <v>10000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 ht="17.25" customHeight="1">
      <c r="A6" t="n">
        <v>1001</v>
      </c>
      <c r="B6" t="n">
        <v>4</v>
      </c>
      <c r="C6" t="inlineStr">
        <is>
          <t>뱅가드</t>
        </is>
      </c>
      <c r="D6" t="n">
        <v>250</v>
      </c>
      <c r="E6" t="n">
        <v>0</v>
      </c>
      <c r="F6" t="n">
        <v>13000</v>
      </c>
      <c r="G6" t="n">
        <v>10000</v>
      </c>
      <c r="H6" t="n">
        <v>200</v>
      </c>
      <c r="I6" t="n">
        <v>65</v>
      </c>
      <c r="J6" t="n">
        <v>0</v>
      </c>
      <c r="K6" t="n">
        <v>-10</v>
      </c>
      <c r="L6" t="n">
        <v>10000</v>
      </c>
      <c r="M6" t="n">
        <v>10000</v>
      </c>
      <c r="N6" t="n">
        <v>10000</v>
      </c>
      <c r="O6" t="n">
        <v>10000</v>
      </c>
      <c r="P6" t="n">
        <v>10000</v>
      </c>
      <c r="Q6" t="n">
        <v>0</v>
      </c>
      <c r="R6" t="n">
        <v>10000</v>
      </c>
      <c r="S6" t="n">
        <v>0</v>
      </c>
      <c r="T6" t="n">
        <v>10000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10000</v>
      </c>
      <c r="AP6" t="n">
        <v>50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10000</v>
      </c>
      <c r="CP6" t="n">
        <v>0</v>
      </c>
      <c r="CQ6" t="n">
        <v>10000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10000</v>
      </c>
      <c r="DA6" t="n">
        <v>10000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1001</v>
      </c>
      <c r="B7" t="n">
        <v>5</v>
      </c>
      <c r="C7" t="inlineStr">
        <is>
          <t>뱅가드</t>
        </is>
      </c>
      <c r="D7" t="n">
        <v>250</v>
      </c>
      <c r="E7" t="n">
        <v>0</v>
      </c>
      <c r="F7" t="n">
        <v>13000</v>
      </c>
      <c r="G7" t="n">
        <v>10000</v>
      </c>
      <c r="H7" t="n">
        <v>200</v>
      </c>
      <c r="I7" t="n">
        <v>65</v>
      </c>
      <c r="J7" t="n">
        <v>0</v>
      </c>
      <c r="K7" t="n">
        <v>-10</v>
      </c>
      <c r="L7" t="n">
        <v>10000</v>
      </c>
      <c r="M7" t="n">
        <v>10000</v>
      </c>
      <c r="N7" t="n">
        <v>10000</v>
      </c>
      <c r="O7" t="n">
        <v>10000</v>
      </c>
      <c r="P7" t="n">
        <v>10000</v>
      </c>
      <c r="Q7" t="n">
        <v>0</v>
      </c>
      <c r="R7" t="n">
        <v>10000</v>
      </c>
      <c r="S7" t="n">
        <v>0</v>
      </c>
      <c r="T7" t="n">
        <v>10000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10000</v>
      </c>
      <c r="AP7" t="n">
        <v>50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10000</v>
      </c>
      <c r="CP7" t="n">
        <v>0</v>
      </c>
      <c r="CQ7" t="n">
        <v>10000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10000</v>
      </c>
      <c r="DA7" t="n">
        <v>10000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1001</v>
      </c>
      <c r="B8" t="n">
        <v>6</v>
      </c>
      <c r="C8" t="inlineStr">
        <is>
          <t>뱅가드</t>
        </is>
      </c>
      <c r="D8" t="n">
        <v>250</v>
      </c>
      <c r="E8" t="n">
        <v>0</v>
      </c>
      <c r="F8" t="n">
        <v>13000</v>
      </c>
      <c r="G8" t="n">
        <v>10000</v>
      </c>
      <c r="H8" t="n">
        <v>200</v>
      </c>
      <c r="I8" t="n">
        <v>65</v>
      </c>
      <c r="J8" t="n">
        <v>0</v>
      </c>
      <c r="K8" t="n">
        <v>-10</v>
      </c>
      <c r="L8" t="n">
        <v>10000</v>
      </c>
      <c r="M8" t="n">
        <v>10000</v>
      </c>
      <c r="N8" t="n">
        <v>10000</v>
      </c>
      <c r="O8" t="n">
        <v>10000</v>
      </c>
      <c r="P8" t="n">
        <v>10000</v>
      </c>
      <c r="Q8" t="n">
        <v>0</v>
      </c>
      <c r="R8" t="n">
        <v>10000</v>
      </c>
      <c r="S8" t="n">
        <v>0</v>
      </c>
      <c r="T8" t="n">
        <v>10000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10000</v>
      </c>
      <c r="AP8" t="n">
        <v>50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10000</v>
      </c>
      <c r="CP8" t="n">
        <v>0</v>
      </c>
      <c r="CQ8" t="n">
        <v>10000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10000</v>
      </c>
      <c r="DA8" t="n">
        <v>10000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1001</v>
      </c>
      <c r="B9" t="n">
        <v>7</v>
      </c>
      <c r="C9" t="inlineStr">
        <is>
          <t>뱅가드</t>
        </is>
      </c>
      <c r="D9" t="n">
        <v>250</v>
      </c>
      <c r="E9" t="n">
        <v>0</v>
      </c>
      <c r="F9" t="n">
        <v>13000</v>
      </c>
      <c r="G9" t="n">
        <v>10000</v>
      </c>
      <c r="H9" t="n">
        <v>200</v>
      </c>
      <c r="I9" t="n">
        <v>65</v>
      </c>
      <c r="J9" t="n">
        <v>0</v>
      </c>
      <c r="K9" t="n">
        <v>-10</v>
      </c>
      <c r="L9" t="n">
        <v>10000</v>
      </c>
      <c r="M9" t="n">
        <v>10000</v>
      </c>
      <c r="N9" t="n">
        <v>10000</v>
      </c>
      <c r="O9" t="n">
        <v>10000</v>
      </c>
      <c r="P9" t="n">
        <v>10000</v>
      </c>
      <c r="Q9" t="n">
        <v>0</v>
      </c>
      <c r="R9" t="n">
        <v>10000</v>
      </c>
      <c r="S9" t="n">
        <v>0</v>
      </c>
      <c r="T9" t="n">
        <v>10000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10000</v>
      </c>
      <c r="AP9" t="n">
        <v>50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10000</v>
      </c>
      <c r="CP9" t="n">
        <v>0</v>
      </c>
      <c r="CQ9" t="n">
        <v>10000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10000</v>
      </c>
      <c r="DA9" t="n">
        <v>10000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1001</v>
      </c>
      <c r="B10" t="n">
        <v>8</v>
      </c>
      <c r="C10" t="inlineStr">
        <is>
          <t>뱅가드</t>
        </is>
      </c>
      <c r="D10" t="n">
        <v>250</v>
      </c>
      <c r="E10" t="n">
        <v>0</v>
      </c>
      <c r="F10" t="n">
        <v>13000</v>
      </c>
      <c r="G10" t="n">
        <v>10000</v>
      </c>
      <c r="H10" t="n">
        <v>200</v>
      </c>
      <c r="I10" t="n">
        <v>65</v>
      </c>
      <c r="J10" t="n">
        <v>0</v>
      </c>
      <c r="K10" t="n">
        <v>-10</v>
      </c>
      <c r="L10" t="n">
        <v>10000</v>
      </c>
      <c r="M10" t="n">
        <v>10000</v>
      </c>
      <c r="N10" t="n">
        <v>10000</v>
      </c>
      <c r="O10" t="n">
        <v>10000</v>
      </c>
      <c r="P10" t="n">
        <v>10000</v>
      </c>
      <c r="Q10" t="n">
        <v>0</v>
      </c>
      <c r="R10" t="n">
        <v>10000</v>
      </c>
      <c r="S10" t="n">
        <v>0</v>
      </c>
      <c r="T10" t="n">
        <v>10000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10000</v>
      </c>
      <c r="AP10" t="n">
        <v>50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10000</v>
      </c>
      <c r="CP10" t="n">
        <v>0</v>
      </c>
      <c r="CQ10" t="n">
        <v>10000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10000</v>
      </c>
      <c r="DA10" t="n">
        <v>10000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1001</v>
      </c>
      <c r="B11" t="n">
        <v>9</v>
      </c>
      <c r="C11" t="inlineStr">
        <is>
          <t>뱅가드</t>
        </is>
      </c>
      <c r="D11" t="n">
        <v>250</v>
      </c>
      <c r="E11" t="n">
        <v>0</v>
      </c>
      <c r="F11" t="n">
        <v>13000</v>
      </c>
      <c r="G11" t="n">
        <v>10000</v>
      </c>
      <c r="H11" t="n">
        <v>200</v>
      </c>
      <c r="I11" t="n">
        <v>65</v>
      </c>
      <c r="J11" t="n">
        <v>0</v>
      </c>
      <c r="K11" t="n">
        <v>-10</v>
      </c>
      <c r="L11" t="n">
        <v>10000</v>
      </c>
      <c r="M11" t="n">
        <v>10000</v>
      </c>
      <c r="N11" t="n">
        <v>10000</v>
      </c>
      <c r="O11" t="n">
        <v>10000</v>
      </c>
      <c r="P11" t="n">
        <v>10000</v>
      </c>
      <c r="Q11" t="n">
        <v>0</v>
      </c>
      <c r="R11" t="n">
        <v>10000</v>
      </c>
      <c r="S11" t="n">
        <v>0</v>
      </c>
      <c r="T11" t="n">
        <v>10000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10000</v>
      </c>
      <c r="AP11" t="n">
        <v>50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10000</v>
      </c>
      <c r="CP11" t="n">
        <v>0</v>
      </c>
      <c r="CQ11" t="n">
        <v>10000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10000</v>
      </c>
      <c r="DA11" t="n">
        <v>10000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 ht="17.25" customFormat="1" customHeight="1" s="22" thickBot="1">
      <c r="A12" t="n">
        <v>1001</v>
      </c>
      <c r="B12" t="n">
        <v>10</v>
      </c>
      <c r="C12" t="inlineStr">
        <is>
          <t>뱅가드</t>
        </is>
      </c>
      <c r="D12" t="n">
        <v>250</v>
      </c>
      <c r="E12" t="n">
        <v>0</v>
      </c>
      <c r="F12" t="n">
        <v>13000</v>
      </c>
      <c r="G12" t="n">
        <v>10000</v>
      </c>
      <c r="H12" t="n">
        <v>200</v>
      </c>
      <c r="I12" t="n">
        <v>65</v>
      </c>
      <c r="J12" t="n">
        <v>0</v>
      </c>
      <c r="K12" t="n">
        <v>-10</v>
      </c>
      <c r="L12" t="n">
        <v>10000</v>
      </c>
      <c r="M12" t="n">
        <v>10000</v>
      </c>
      <c r="N12" t="n">
        <v>10000</v>
      </c>
      <c r="O12" t="n">
        <v>10000</v>
      </c>
      <c r="P12" t="n">
        <v>10000</v>
      </c>
      <c r="Q12" t="n">
        <v>0</v>
      </c>
      <c r="R12" t="n">
        <v>10000</v>
      </c>
      <c r="S12" t="n">
        <v>0</v>
      </c>
      <c r="T12" t="n">
        <v>10000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10000</v>
      </c>
      <c r="AP12" t="n">
        <v>50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10000</v>
      </c>
      <c r="CP12" t="n">
        <v>0</v>
      </c>
      <c r="CQ12" t="n">
        <v>10000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10000</v>
      </c>
      <c r="DA12" t="n">
        <v>10000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2001</v>
      </c>
      <c r="B13" t="n">
        <v>1</v>
      </c>
      <c r="C13" t="inlineStr">
        <is>
          <t>스트라이커</t>
        </is>
      </c>
      <c r="D13" s="57" t="n">
        <v>180</v>
      </c>
      <c r="E13" t="n">
        <v>0</v>
      </c>
      <c r="F13" t="n">
        <v>11500</v>
      </c>
      <c r="G13" t="n">
        <v>10000</v>
      </c>
      <c r="H13" t="n">
        <v>150</v>
      </c>
      <c r="I13" t="n">
        <v>50</v>
      </c>
      <c r="J13" t="n">
        <v>0</v>
      </c>
      <c r="K13" t="n">
        <v>-10</v>
      </c>
      <c r="L13" t="n">
        <v>10000</v>
      </c>
      <c r="M13" t="n">
        <v>10000</v>
      </c>
      <c r="N13" t="n">
        <v>10000</v>
      </c>
      <c r="O13" t="n">
        <v>10000</v>
      </c>
      <c r="P13" t="n">
        <v>10000</v>
      </c>
      <c r="Q13" t="n">
        <v>0</v>
      </c>
      <c r="R13" t="n">
        <v>10000</v>
      </c>
      <c r="S13" t="n">
        <v>0</v>
      </c>
      <c r="T13" t="n">
        <v>10000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10000</v>
      </c>
      <c r="AP13" t="n">
        <v>50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10000</v>
      </c>
      <c r="CP13" t="n">
        <v>0</v>
      </c>
      <c r="CQ13" t="n">
        <v>10000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10000</v>
      </c>
      <c r="DA13" t="n">
        <v>10000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2001</v>
      </c>
      <c r="B14" t="n">
        <v>2</v>
      </c>
      <c r="C14" t="inlineStr">
        <is>
          <t>스트라이커</t>
        </is>
      </c>
      <c r="D14" s="57" t="n">
        <v>180</v>
      </c>
      <c r="E14" t="n">
        <v>0</v>
      </c>
      <c r="F14" t="n">
        <v>11500</v>
      </c>
      <c r="G14" t="n">
        <v>10000</v>
      </c>
      <c r="H14" t="n">
        <v>150</v>
      </c>
      <c r="I14" t="n">
        <v>50</v>
      </c>
      <c r="J14" t="n">
        <v>0</v>
      </c>
      <c r="K14" t="n">
        <v>-10</v>
      </c>
      <c r="L14" t="n">
        <v>10000</v>
      </c>
      <c r="M14" t="n">
        <v>10000</v>
      </c>
      <c r="N14" t="n">
        <v>10000</v>
      </c>
      <c r="O14" t="n">
        <v>10000</v>
      </c>
      <c r="P14" t="n">
        <v>10000</v>
      </c>
      <c r="Q14" t="n">
        <v>0</v>
      </c>
      <c r="R14" t="n">
        <v>10000</v>
      </c>
      <c r="S14" t="n">
        <v>0</v>
      </c>
      <c r="T14" t="n">
        <v>10000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10000</v>
      </c>
      <c r="AP14" t="n">
        <v>50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10000</v>
      </c>
      <c r="CP14" t="n">
        <v>0</v>
      </c>
      <c r="CQ14" t="n">
        <v>10000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10000</v>
      </c>
      <c r="DA14" t="n">
        <v>10000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2001</v>
      </c>
      <c r="B15" t="n">
        <v>3</v>
      </c>
      <c r="C15" t="inlineStr">
        <is>
          <t>스트라이커</t>
        </is>
      </c>
      <c r="D15" s="57" t="n">
        <v>180</v>
      </c>
      <c r="E15" t="n">
        <v>0</v>
      </c>
      <c r="F15" t="n">
        <v>11500</v>
      </c>
      <c r="G15" t="n">
        <v>10000</v>
      </c>
      <c r="H15" t="n">
        <v>150</v>
      </c>
      <c r="I15" t="n">
        <v>50</v>
      </c>
      <c r="J15" t="n">
        <v>0</v>
      </c>
      <c r="K15" t="n">
        <v>-10</v>
      </c>
      <c r="L15" t="n">
        <v>10000</v>
      </c>
      <c r="M15" t="n">
        <v>10000</v>
      </c>
      <c r="N15" t="n">
        <v>10000</v>
      </c>
      <c r="O15" t="n">
        <v>10000</v>
      </c>
      <c r="P15" t="n">
        <v>10000</v>
      </c>
      <c r="Q15" t="n">
        <v>0</v>
      </c>
      <c r="R15" t="n">
        <v>10000</v>
      </c>
      <c r="S15" t="n">
        <v>0</v>
      </c>
      <c r="T15" t="n">
        <v>10000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10000</v>
      </c>
      <c r="AP15" t="n">
        <v>50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10000</v>
      </c>
      <c r="CP15" t="n">
        <v>0</v>
      </c>
      <c r="CQ15" t="n">
        <v>10000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10000</v>
      </c>
      <c r="DA15" t="n">
        <v>10000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2001</v>
      </c>
      <c r="B16" t="n">
        <v>4</v>
      </c>
      <c r="C16" t="inlineStr">
        <is>
          <t>스트라이커</t>
        </is>
      </c>
      <c r="D16" s="57" t="n">
        <v>180</v>
      </c>
      <c r="E16" t="n">
        <v>0</v>
      </c>
      <c r="F16" t="n">
        <v>11500</v>
      </c>
      <c r="G16" t="n">
        <v>10000</v>
      </c>
      <c r="H16" t="n">
        <v>150</v>
      </c>
      <c r="I16" t="n">
        <v>50</v>
      </c>
      <c r="J16" t="n">
        <v>0</v>
      </c>
      <c r="K16" t="n">
        <v>-10</v>
      </c>
      <c r="L16" t="n">
        <v>10000</v>
      </c>
      <c r="M16" t="n">
        <v>10000</v>
      </c>
      <c r="N16" t="n">
        <v>10000</v>
      </c>
      <c r="O16" t="n">
        <v>10000</v>
      </c>
      <c r="P16" t="n">
        <v>10000</v>
      </c>
      <c r="Q16" t="n">
        <v>0</v>
      </c>
      <c r="R16" t="n">
        <v>10000</v>
      </c>
      <c r="S16" t="n">
        <v>0</v>
      </c>
      <c r="T16" t="n">
        <v>10000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10000</v>
      </c>
      <c r="AP16" t="n">
        <v>50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10000</v>
      </c>
      <c r="CP16" t="n">
        <v>0</v>
      </c>
      <c r="CQ16" t="n">
        <v>10000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10000</v>
      </c>
      <c r="DA16" t="n">
        <v>10000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2001</v>
      </c>
      <c r="B17" t="n">
        <v>5</v>
      </c>
      <c r="C17" t="inlineStr">
        <is>
          <t>스트라이커</t>
        </is>
      </c>
      <c r="D17" s="57" t="n">
        <v>180</v>
      </c>
      <c r="E17" t="n">
        <v>0</v>
      </c>
      <c r="F17" t="n">
        <v>11500</v>
      </c>
      <c r="G17" t="n">
        <v>10000</v>
      </c>
      <c r="H17" t="n">
        <v>150</v>
      </c>
      <c r="I17" t="n">
        <v>50</v>
      </c>
      <c r="J17" t="n">
        <v>0</v>
      </c>
      <c r="K17" t="n">
        <v>-10</v>
      </c>
      <c r="L17" t="n">
        <v>10000</v>
      </c>
      <c r="M17" t="n">
        <v>10000</v>
      </c>
      <c r="N17" t="n">
        <v>10000</v>
      </c>
      <c r="O17" t="n">
        <v>10000</v>
      </c>
      <c r="P17" t="n">
        <v>10000</v>
      </c>
      <c r="Q17" t="n">
        <v>0</v>
      </c>
      <c r="R17" t="n">
        <v>10000</v>
      </c>
      <c r="S17" t="n">
        <v>0</v>
      </c>
      <c r="T17" t="n">
        <v>10000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10000</v>
      </c>
      <c r="AP17" t="n">
        <v>50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10000</v>
      </c>
      <c r="CP17" t="n">
        <v>0</v>
      </c>
      <c r="CQ17" t="n">
        <v>10000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10000</v>
      </c>
      <c r="DA17" t="n">
        <v>10000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2001</v>
      </c>
      <c r="B18" t="n">
        <v>6</v>
      </c>
      <c r="C18" t="inlineStr">
        <is>
          <t>스트라이커</t>
        </is>
      </c>
      <c r="D18" s="57" t="n">
        <v>180</v>
      </c>
      <c r="E18" t="n">
        <v>0</v>
      </c>
      <c r="F18" t="n">
        <v>11500</v>
      </c>
      <c r="G18" t="n">
        <v>10000</v>
      </c>
      <c r="H18" t="n">
        <v>150</v>
      </c>
      <c r="I18" t="n">
        <v>50</v>
      </c>
      <c r="J18" t="n">
        <v>0</v>
      </c>
      <c r="K18" t="n">
        <v>-10</v>
      </c>
      <c r="L18" t="n">
        <v>10000</v>
      </c>
      <c r="M18" t="n">
        <v>10000</v>
      </c>
      <c r="N18" t="n">
        <v>10000</v>
      </c>
      <c r="O18" t="n">
        <v>10000</v>
      </c>
      <c r="P18" t="n">
        <v>10000</v>
      </c>
      <c r="Q18" t="n">
        <v>0</v>
      </c>
      <c r="R18" t="n">
        <v>10000</v>
      </c>
      <c r="S18" t="n">
        <v>0</v>
      </c>
      <c r="T18" t="n">
        <v>10000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10000</v>
      </c>
      <c r="AP18" t="n">
        <v>50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10000</v>
      </c>
      <c r="CP18" t="n">
        <v>0</v>
      </c>
      <c r="CQ18" t="n">
        <v>10000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10000</v>
      </c>
      <c r="DA18" t="n">
        <v>10000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2001</v>
      </c>
      <c r="B19" t="n">
        <v>7</v>
      </c>
      <c r="C19" t="inlineStr">
        <is>
          <t>스트라이커</t>
        </is>
      </c>
      <c r="D19" s="57" t="n">
        <v>180</v>
      </c>
      <c r="E19" t="n">
        <v>0</v>
      </c>
      <c r="F19" t="n">
        <v>11500</v>
      </c>
      <c r="G19" t="n">
        <v>10000</v>
      </c>
      <c r="H19" t="n">
        <v>150</v>
      </c>
      <c r="I19" t="n">
        <v>50</v>
      </c>
      <c r="J19" t="n">
        <v>0</v>
      </c>
      <c r="K19" t="n">
        <v>-10</v>
      </c>
      <c r="L19" t="n">
        <v>10000</v>
      </c>
      <c r="M19" t="n">
        <v>10000</v>
      </c>
      <c r="N19" t="n">
        <v>10000</v>
      </c>
      <c r="O19" t="n">
        <v>10000</v>
      </c>
      <c r="P19" t="n">
        <v>10000</v>
      </c>
      <c r="Q19" t="n">
        <v>0</v>
      </c>
      <c r="R19" t="n">
        <v>10000</v>
      </c>
      <c r="S19" t="n">
        <v>0</v>
      </c>
      <c r="T19" t="n">
        <v>10000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10000</v>
      </c>
      <c r="AP19" t="n">
        <v>50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10000</v>
      </c>
      <c r="CP19" t="n">
        <v>0</v>
      </c>
      <c r="CQ19" t="n">
        <v>10000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10000</v>
      </c>
      <c r="DA19" t="n">
        <v>10000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2001</v>
      </c>
      <c r="B20" t="n">
        <v>8</v>
      </c>
      <c r="C20" t="inlineStr">
        <is>
          <t>스트라이커</t>
        </is>
      </c>
      <c r="D20" s="57" t="n">
        <v>180</v>
      </c>
      <c r="E20" t="n">
        <v>0</v>
      </c>
      <c r="F20" t="n">
        <v>11500</v>
      </c>
      <c r="G20" t="n">
        <v>10000</v>
      </c>
      <c r="H20" t="n">
        <v>150</v>
      </c>
      <c r="I20" t="n">
        <v>50</v>
      </c>
      <c r="J20" t="n">
        <v>0</v>
      </c>
      <c r="K20" t="n">
        <v>-10</v>
      </c>
      <c r="L20" t="n">
        <v>10000</v>
      </c>
      <c r="M20" t="n">
        <v>10000</v>
      </c>
      <c r="N20" t="n">
        <v>10000</v>
      </c>
      <c r="O20" t="n">
        <v>10000</v>
      </c>
      <c r="P20" t="n">
        <v>10000</v>
      </c>
      <c r="Q20" t="n">
        <v>0</v>
      </c>
      <c r="R20" t="n">
        <v>10000</v>
      </c>
      <c r="S20" t="n">
        <v>0</v>
      </c>
      <c r="T20" t="n">
        <v>10000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10000</v>
      </c>
      <c r="AP20" t="n">
        <v>50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10000</v>
      </c>
      <c r="CP20" t="n">
        <v>0</v>
      </c>
      <c r="CQ20" t="n">
        <v>10000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10000</v>
      </c>
      <c r="DA20" t="n">
        <v>10000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2001</v>
      </c>
      <c r="B21" t="n">
        <v>9</v>
      </c>
      <c r="C21" t="inlineStr">
        <is>
          <t>스트라이커</t>
        </is>
      </c>
      <c r="D21" s="57" t="n">
        <v>180</v>
      </c>
      <c r="E21" t="n">
        <v>0</v>
      </c>
      <c r="F21" t="n">
        <v>11500</v>
      </c>
      <c r="G21" t="n">
        <v>10000</v>
      </c>
      <c r="H21" t="n">
        <v>150</v>
      </c>
      <c r="I21" t="n">
        <v>50</v>
      </c>
      <c r="J21" t="n">
        <v>0</v>
      </c>
      <c r="K21" t="n">
        <v>-10</v>
      </c>
      <c r="L21" t="n">
        <v>10000</v>
      </c>
      <c r="M21" t="n">
        <v>10000</v>
      </c>
      <c r="N21" t="n">
        <v>10000</v>
      </c>
      <c r="O21" t="n">
        <v>10000</v>
      </c>
      <c r="P21" t="n">
        <v>10000</v>
      </c>
      <c r="Q21" t="n">
        <v>0</v>
      </c>
      <c r="R21" t="n">
        <v>10000</v>
      </c>
      <c r="S21" t="n">
        <v>0</v>
      </c>
      <c r="T21" t="n">
        <v>10000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10000</v>
      </c>
      <c r="AP21" t="n">
        <v>50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10000</v>
      </c>
      <c r="CP21" t="n">
        <v>0</v>
      </c>
      <c r="CQ21" t="n">
        <v>10000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10000</v>
      </c>
      <c r="DA21" t="n">
        <v>10000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 ht="17.25" customFormat="1" customHeight="1" s="22" thickBot="1">
      <c r="A22" t="n">
        <v>2001</v>
      </c>
      <c r="B22" t="n">
        <v>10</v>
      </c>
      <c r="C22" t="inlineStr">
        <is>
          <t>스트라이커</t>
        </is>
      </c>
      <c r="D22" s="57" t="n">
        <v>180</v>
      </c>
      <c r="E22" t="n">
        <v>0</v>
      </c>
      <c r="F22" t="n">
        <v>11500</v>
      </c>
      <c r="G22" t="n">
        <v>10000</v>
      </c>
      <c r="H22" t="n">
        <v>150</v>
      </c>
      <c r="I22" t="n">
        <v>50</v>
      </c>
      <c r="J22" t="n">
        <v>0</v>
      </c>
      <c r="K22" t="n">
        <v>-10</v>
      </c>
      <c r="L22" t="n">
        <v>10000</v>
      </c>
      <c r="M22" t="n">
        <v>10000</v>
      </c>
      <c r="N22" t="n">
        <v>10000</v>
      </c>
      <c r="O22" t="n">
        <v>10000</v>
      </c>
      <c r="P22" t="n">
        <v>10000</v>
      </c>
      <c r="Q22" t="n">
        <v>0</v>
      </c>
      <c r="R22" t="n">
        <v>10000</v>
      </c>
      <c r="S22" t="n">
        <v>0</v>
      </c>
      <c r="T22" t="n">
        <v>10000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10000</v>
      </c>
      <c r="AP22" t="n">
        <v>50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10000</v>
      </c>
      <c r="CP22" t="n">
        <v>0</v>
      </c>
      <c r="CQ22" t="n">
        <v>10000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10000</v>
      </c>
      <c r="DA22" t="n">
        <v>10000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3001</v>
      </c>
      <c r="B23" t="n">
        <v>1</v>
      </c>
      <c r="C23" t="inlineStr">
        <is>
          <t>에이전트</t>
        </is>
      </c>
      <c r="D23" t="n">
        <v>200</v>
      </c>
      <c r="E23" t="n">
        <v>0</v>
      </c>
      <c r="F23" t="n">
        <v>21000</v>
      </c>
      <c r="G23" t="n">
        <v>10000</v>
      </c>
      <c r="H23" t="n">
        <v>125</v>
      </c>
      <c r="I23" t="n">
        <v>50</v>
      </c>
      <c r="J23" t="n">
        <v>0</v>
      </c>
      <c r="K23" t="n">
        <v>-10</v>
      </c>
      <c r="L23" t="n">
        <v>10000</v>
      </c>
      <c r="M23" t="n">
        <v>10000</v>
      </c>
      <c r="N23" t="n">
        <v>10000</v>
      </c>
      <c r="O23" t="n">
        <v>10000</v>
      </c>
      <c r="P23" t="n">
        <v>10000</v>
      </c>
      <c r="Q23" t="n">
        <v>0</v>
      </c>
      <c r="R23" t="n">
        <v>10000</v>
      </c>
      <c r="S23" t="n">
        <v>0</v>
      </c>
      <c r="T23" t="n">
        <v>10000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10000</v>
      </c>
      <c r="AP23" t="n">
        <v>50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10000</v>
      </c>
      <c r="CP23" t="n">
        <v>0</v>
      </c>
      <c r="CQ23" t="n">
        <v>10000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10000</v>
      </c>
      <c r="DA23" t="n">
        <v>10000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3001</v>
      </c>
      <c r="B24" t="n">
        <v>2</v>
      </c>
      <c r="C24" t="inlineStr">
        <is>
          <t>에이전트</t>
        </is>
      </c>
      <c r="D24" t="n">
        <v>200</v>
      </c>
      <c r="E24" t="n">
        <v>0</v>
      </c>
      <c r="F24" t="n">
        <v>21000</v>
      </c>
      <c r="G24" t="n">
        <v>10000</v>
      </c>
      <c r="H24" t="n">
        <v>125</v>
      </c>
      <c r="I24" t="n">
        <v>50</v>
      </c>
      <c r="J24" t="n">
        <v>0</v>
      </c>
      <c r="K24" t="n">
        <v>-10</v>
      </c>
      <c r="L24" t="n">
        <v>10000</v>
      </c>
      <c r="M24" t="n">
        <v>10000</v>
      </c>
      <c r="N24" t="n">
        <v>10000</v>
      </c>
      <c r="O24" t="n">
        <v>10000</v>
      </c>
      <c r="P24" t="n">
        <v>10000</v>
      </c>
      <c r="Q24" t="n">
        <v>0</v>
      </c>
      <c r="R24" t="n">
        <v>10000</v>
      </c>
      <c r="S24" t="n">
        <v>0</v>
      </c>
      <c r="T24" t="n">
        <v>10000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10000</v>
      </c>
      <c r="AP24" t="n">
        <v>50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10000</v>
      </c>
      <c r="CP24" t="n">
        <v>0</v>
      </c>
      <c r="CQ24" t="n">
        <v>10000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10000</v>
      </c>
      <c r="DA24" t="n">
        <v>10000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3001</v>
      </c>
      <c r="B25" t="n">
        <v>3</v>
      </c>
      <c r="C25" t="inlineStr">
        <is>
          <t>에이전트</t>
        </is>
      </c>
      <c r="D25" t="n">
        <v>200</v>
      </c>
      <c r="E25" t="n">
        <v>0</v>
      </c>
      <c r="F25" t="n">
        <v>21000</v>
      </c>
      <c r="G25" t="n">
        <v>10000</v>
      </c>
      <c r="H25" t="n">
        <v>125</v>
      </c>
      <c r="I25" t="n">
        <v>50</v>
      </c>
      <c r="J25" t="n">
        <v>0</v>
      </c>
      <c r="K25" t="n">
        <v>-10</v>
      </c>
      <c r="L25" t="n">
        <v>10000</v>
      </c>
      <c r="M25" t="n">
        <v>10000</v>
      </c>
      <c r="N25" t="n">
        <v>10000</v>
      </c>
      <c r="O25" t="n">
        <v>10000</v>
      </c>
      <c r="P25" t="n">
        <v>10000</v>
      </c>
      <c r="Q25" t="n">
        <v>0</v>
      </c>
      <c r="R25" t="n">
        <v>10000</v>
      </c>
      <c r="S25" t="n">
        <v>0</v>
      </c>
      <c r="T25" t="n">
        <v>10000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10000</v>
      </c>
      <c r="AP25" t="n">
        <v>50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10000</v>
      </c>
      <c r="CP25" t="n">
        <v>0</v>
      </c>
      <c r="CQ25" t="n">
        <v>10000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10000</v>
      </c>
      <c r="DA25" t="n">
        <v>10000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3001</v>
      </c>
      <c r="B26" t="n">
        <v>4</v>
      </c>
      <c r="C26" t="inlineStr">
        <is>
          <t>에이전트</t>
        </is>
      </c>
      <c r="D26" t="n">
        <v>200</v>
      </c>
      <c r="E26" t="n">
        <v>0</v>
      </c>
      <c r="F26" t="n">
        <v>21000</v>
      </c>
      <c r="G26" t="n">
        <v>10000</v>
      </c>
      <c r="H26" t="n">
        <v>125</v>
      </c>
      <c r="I26" t="n">
        <v>50</v>
      </c>
      <c r="J26" t="n">
        <v>0</v>
      </c>
      <c r="K26" t="n">
        <v>-10</v>
      </c>
      <c r="L26" t="n">
        <v>10000</v>
      </c>
      <c r="M26" t="n">
        <v>10000</v>
      </c>
      <c r="N26" t="n">
        <v>10000</v>
      </c>
      <c r="O26" t="n">
        <v>10000</v>
      </c>
      <c r="P26" t="n">
        <v>10000</v>
      </c>
      <c r="Q26" t="n">
        <v>0</v>
      </c>
      <c r="R26" t="n">
        <v>10000</v>
      </c>
      <c r="S26" t="n">
        <v>0</v>
      </c>
      <c r="T26" t="n">
        <v>10000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10000</v>
      </c>
      <c r="AP26" t="n">
        <v>50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10000</v>
      </c>
      <c r="CP26" t="n">
        <v>0</v>
      </c>
      <c r="CQ26" t="n">
        <v>10000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10000</v>
      </c>
      <c r="DA26" t="n">
        <v>10000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3001</v>
      </c>
      <c r="B27" t="n">
        <v>5</v>
      </c>
      <c r="C27" t="inlineStr">
        <is>
          <t>에이전트</t>
        </is>
      </c>
      <c r="D27" t="n">
        <v>200</v>
      </c>
      <c r="E27" t="n">
        <v>0</v>
      </c>
      <c r="F27" t="n">
        <v>21000</v>
      </c>
      <c r="G27" t="n">
        <v>10000</v>
      </c>
      <c r="H27" t="n">
        <v>125</v>
      </c>
      <c r="I27" t="n">
        <v>50</v>
      </c>
      <c r="J27" t="n">
        <v>0</v>
      </c>
      <c r="K27" t="n">
        <v>-10</v>
      </c>
      <c r="L27" t="n">
        <v>10000</v>
      </c>
      <c r="M27" t="n">
        <v>10000</v>
      </c>
      <c r="N27" t="n">
        <v>10000</v>
      </c>
      <c r="O27" t="n">
        <v>10000</v>
      </c>
      <c r="P27" t="n">
        <v>10000</v>
      </c>
      <c r="Q27" t="n">
        <v>0</v>
      </c>
      <c r="R27" t="n">
        <v>10000</v>
      </c>
      <c r="S27" t="n">
        <v>0</v>
      </c>
      <c r="T27" t="n">
        <v>10000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10000</v>
      </c>
      <c r="AP27" t="n">
        <v>50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10000</v>
      </c>
      <c r="CP27" t="n">
        <v>0</v>
      </c>
      <c r="CQ27" t="n">
        <v>10000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10000</v>
      </c>
      <c r="DA27" t="n">
        <v>10000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3001</v>
      </c>
      <c r="B28" t="n">
        <v>6</v>
      </c>
      <c r="C28" t="inlineStr">
        <is>
          <t>에이전트</t>
        </is>
      </c>
      <c r="D28" t="n">
        <v>200</v>
      </c>
      <c r="E28" t="n">
        <v>0</v>
      </c>
      <c r="F28" t="n">
        <v>21000</v>
      </c>
      <c r="G28" t="n">
        <v>10000</v>
      </c>
      <c r="H28" t="n">
        <v>125</v>
      </c>
      <c r="I28" t="n">
        <v>50</v>
      </c>
      <c r="J28" t="n">
        <v>0</v>
      </c>
      <c r="K28" t="n">
        <v>-10</v>
      </c>
      <c r="L28" t="n">
        <v>10000</v>
      </c>
      <c r="M28" t="n">
        <v>10000</v>
      </c>
      <c r="N28" t="n">
        <v>10000</v>
      </c>
      <c r="O28" t="n">
        <v>10000</v>
      </c>
      <c r="P28" t="n">
        <v>10000</v>
      </c>
      <c r="Q28" t="n">
        <v>0</v>
      </c>
      <c r="R28" t="n">
        <v>10000</v>
      </c>
      <c r="S28" t="n">
        <v>0</v>
      </c>
      <c r="T28" t="n">
        <v>10000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10000</v>
      </c>
      <c r="AP28" t="n">
        <v>50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10000</v>
      </c>
      <c r="CP28" t="n">
        <v>0</v>
      </c>
      <c r="CQ28" t="n">
        <v>10000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10000</v>
      </c>
      <c r="DA28" t="n">
        <v>10000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3001</v>
      </c>
      <c r="B29" t="n">
        <v>7</v>
      </c>
      <c r="C29" t="inlineStr">
        <is>
          <t>에이전트</t>
        </is>
      </c>
      <c r="D29" t="n">
        <v>200</v>
      </c>
      <c r="E29" t="n">
        <v>0</v>
      </c>
      <c r="F29" t="n">
        <v>21000</v>
      </c>
      <c r="G29" t="n">
        <v>10000</v>
      </c>
      <c r="H29" t="n">
        <v>125</v>
      </c>
      <c r="I29" t="n">
        <v>50</v>
      </c>
      <c r="J29" t="n">
        <v>0</v>
      </c>
      <c r="K29" t="n">
        <v>-10</v>
      </c>
      <c r="L29" t="n">
        <v>10000</v>
      </c>
      <c r="M29" t="n">
        <v>10000</v>
      </c>
      <c r="N29" t="n">
        <v>10000</v>
      </c>
      <c r="O29" t="n">
        <v>10000</v>
      </c>
      <c r="P29" t="n">
        <v>10000</v>
      </c>
      <c r="Q29" t="n">
        <v>0</v>
      </c>
      <c r="R29" t="n">
        <v>10000</v>
      </c>
      <c r="S29" t="n">
        <v>0</v>
      </c>
      <c r="T29" t="n">
        <v>10000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10000</v>
      </c>
      <c r="AP29" t="n">
        <v>50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10000</v>
      </c>
      <c r="CP29" t="n">
        <v>0</v>
      </c>
      <c r="CQ29" t="n">
        <v>10000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10000</v>
      </c>
      <c r="DA29" t="n">
        <v>10000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3001</v>
      </c>
      <c r="B30" t="n">
        <v>8</v>
      </c>
      <c r="C30" t="inlineStr">
        <is>
          <t>에이전트</t>
        </is>
      </c>
      <c r="D30" t="n">
        <v>200</v>
      </c>
      <c r="E30" t="n">
        <v>0</v>
      </c>
      <c r="F30" t="n">
        <v>21000</v>
      </c>
      <c r="G30" t="n">
        <v>10000</v>
      </c>
      <c r="H30" t="n">
        <v>125</v>
      </c>
      <c r="I30" t="n">
        <v>50</v>
      </c>
      <c r="J30" t="n">
        <v>0</v>
      </c>
      <c r="K30" t="n">
        <v>-10</v>
      </c>
      <c r="L30" t="n">
        <v>10000</v>
      </c>
      <c r="M30" t="n">
        <v>10000</v>
      </c>
      <c r="N30" t="n">
        <v>10000</v>
      </c>
      <c r="O30" t="n">
        <v>10000</v>
      </c>
      <c r="P30" t="n">
        <v>10000</v>
      </c>
      <c r="Q30" t="n">
        <v>0</v>
      </c>
      <c r="R30" t="n">
        <v>10000</v>
      </c>
      <c r="S30" t="n">
        <v>0</v>
      </c>
      <c r="T30" t="n">
        <v>10000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10000</v>
      </c>
      <c r="AP30" t="n">
        <v>50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10000</v>
      </c>
      <c r="CP30" t="n">
        <v>0</v>
      </c>
      <c r="CQ30" t="n">
        <v>10000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10000</v>
      </c>
      <c r="DA30" t="n">
        <v>10000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3001</v>
      </c>
      <c r="B31" t="n">
        <v>9</v>
      </c>
      <c r="C31" t="inlineStr">
        <is>
          <t>에이전트</t>
        </is>
      </c>
      <c r="D31" t="n">
        <v>200</v>
      </c>
      <c r="E31" t="n">
        <v>0</v>
      </c>
      <c r="F31" t="n">
        <v>21000</v>
      </c>
      <c r="G31" t="n">
        <v>10000</v>
      </c>
      <c r="H31" t="n">
        <v>125</v>
      </c>
      <c r="I31" t="n">
        <v>50</v>
      </c>
      <c r="J31" t="n">
        <v>0</v>
      </c>
      <c r="K31" t="n">
        <v>-10</v>
      </c>
      <c r="L31" t="n">
        <v>10000</v>
      </c>
      <c r="M31" t="n">
        <v>10000</v>
      </c>
      <c r="N31" t="n">
        <v>10000</v>
      </c>
      <c r="O31" t="n">
        <v>10000</v>
      </c>
      <c r="P31" t="n">
        <v>10000</v>
      </c>
      <c r="Q31" t="n">
        <v>0</v>
      </c>
      <c r="R31" t="n">
        <v>10000</v>
      </c>
      <c r="S31" t="n">
        <v>0</v>
      </c>
      <c r="T31" t="n">
        <v>10000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10000</v>
      </c>
      <c r="AP31" t="n">
        <v>50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10000</v>
      </c>
      <c r="CP31" t="n">
        <v>0</v>
      </c>
      <c r="CQ31" t="n">
        <v>10000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10000</v>
      </c>
      <c r="DA31" t="n">
        <v>10000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 ht="17.25" customFormat="1" customHeight="1" s="22" thickBot="1">
      <c r="A32" t="n">
        <v>3001</v>
      </c>
      <c r="B32" t="n">
        <v>10</v>
      </c>
      <c r="C32" t="inlineStr">
        <is>
          <t>에이전트</t>
        </is>
      </c>
      <c r="D32" t="n">
        <v>200</v>
      </c>
      <c r="E32" t="n">
        <v>0</v>
      </c>
      <c r="F32" t="n">
        <v>21000</v>
      </c>
      <c r="G32" t="n">
        <v>10000</v>
      </c>
      <c r="H32" t="n">
        <v>125</v>
      </c>
      <c r="I32" t="n">
        <v>50</v>
      </c>
      <c r="J32" t="n">
        <v>0</v>
      </c>
      <c r="K32" t="n">
        <v>-10</v>
      </c>
      <c r="L32" t="n">
        <v>10000</v>
      </c>
      <c r="M32" t="n">
        <v>10000</v>
      </c>
      <c r="N32" t="n">
        <v>10000</v>
      </c>
      <c r="O32" t="n">
        <v>10000</v>
      </c>
      <c r="P32" t="n">
        <v>10000</v>
      </c>
      <c r="Q32" t="n">
        <v>0</v>
      </c>
      <c r="R32" t="n">
        <v>10000</v>
      </c>
      <c r="S32" t="n">
        <v>0</v>
      </c>
      <c r="T32" t="n">
        <v>10000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10000</v>
      </c>
      <c r="AP32" t="n">
        <v>50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10000</v>
      </c>
      <c r="CP32" t="n">
        <v>0</v>
      </c>
      <c r="CQ32" t="n">
        <v>10000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10000</v>
      </c>
      <c r="DA32" t="n">
        <v>10000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4001</v>
      </c>
      <c r="B33" t="n">
        <v>1</v>
      </c>
      <c r="C33" t="inlineStr">
        <is>
          <t>메카닉</t>
        </is>
      </c>
      <c r="D33" t="n">
        <v>200</v>
      </c>
      <c r="E33" t="n">
        <v>0</v>
      </c>
      <c r="F33" t="n">
        <v>21000</v>
      </c>
      <c r="G33" t="n">
        <v>10000</v>
      </c>
      <c r="H33" t="n">
        <v>125</v>
      </c>
      <c r="I33" t="n">
        <v>50</v>
      </c>
      <c r="J33" t="n">
        <v>0</v>
      </c>
      <c r="K33" t="n">
        <v>-10</v>
      </c>
      <c r="L33" t="n">
        <v>10000</v>
      </c>
      <c r="M33" t="n">
        <v>10000</v>
      </c>
      <c r="N33" t="n">
        <v>10000</v>
      </c>
      <c r="O33" t="n">
        <v>10000</v>
      </c>
      <c r="P33" t="n">
        <v>10000</v>
      </c>
      <c r="Q33" t="n">
        <v>0</v>
      </c>
      <c r="R33" t="n">
        <v>10000</v>
      </c>
      <c r="S33" t="n">
        <v>0</v>
      </c>
      <c r="T33" t="n">
        <v>10000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10000</v>
      </c>
      <c r="AP33" t="n">
        <v>50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10000</v>
      </c>
      <c r="CP33" t="n">
        <v>0</v>
      </c>
      <c r="CQ33" t="n">
        <v>10000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10000</v>
      </c>
      <c r="DA33" t="n">
        <v>10000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4001</v>
      </c>
      <c r="B34" t="n">
        <v>2</v>
      </c>
      <c r="C34" t="inlineStr">
        <is>
          <t>메카닉</t>
        </is>
      </c>
      <c r="D34" t="n">
        <v>200</v>
      </c>
      <c r="E34" t="n">
        <v>0</v>
      </c>
      <c r="F34" t="n">
        <v>21000</v>
      </c>
      <c r="G34" t="n">
        <v>10000</v>
      </c>
      <c r="H34" t="n">
        <v>125</v>
      </c>
      <c r="I34" t="n">
        <v>50</v>
      </c>
      <c r="J34" t="n">
        <v>0</v>
      </c>
      <c r="K34" t="n">
        <v>-10</v>
      </c>
      <c r="L34" t="n">
        <v>10000</v>
      </c>
      <c r="M34" t="n">
        <v>10000</v>
      </c>
      <c r="N34" t="n">
        <v>10000</v>
      </c>
      <c r="O34" t="n">
        <v>10000</v>
      </c>
      <c r="P34" t="n">
        <v>10000</v>
      </c>
      <c r="Q34" t="n">
        <v>0</v>
      </c>
      <c r="R34" t="n">
        <v>10000</v>
      </c>
      <c r="S34" t="n">
        <v>0</v>
      </c>
      <c r="T34" t="n">
        <v>10000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10000</v>
      </c>
      <c r="AP34" t="n">
        <v>50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10000</v>
      </c>
      <c r="CP34" t="n">
        <v>0</v>
      </c>
      <c r="CQ34" t="n">
        <v>10000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10000</v>
      </c>
      <c r="DA34" t="n">
        <v>10000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4001</v>
      </c>
      <c r="B35" t="n">
        <v>3</v>
      </c>
      <c r="C35" t="inlineStr">
        <is>
          <t>메카닉</t>
        </is>
      </c>
      <c r="D35" t="n">
        <v>200</v>
      </c>
      <c r="E35" t="n">
        <v>0</v>
      </c>
      <c r="F35" t="n">
        <v>21000</v>
      </c>
      <c r="G35" t="n">
        <v>10000</v>
      </c>
      <c r="H35" t="n">
        <v>125</v>
      </c>
      <c r="I35" t="n">
        <v>50</v>
      </c>
      <c r="J35" t="n">
        <v>0</v>
      </c>
      <c r="K35" t="n">
        <v>-10</v>
      </c>
      <c r="L35" t="n">
        <v>10000</v>
      </c>
      <c r="M35" t="n">
        <v>10000</v>
      </c>
      <c r="N35" t="n">
        <v>10000</v>
      </c>
      <c r="O35" t="n">
        <v>10000</v>
      </c>
      <c r="P35" t="n">
        <v>10000</v>
      </c>
      <c r="Q35" t="n">
        <v>0</v>
      </c>
      <c r="R35" t="n">
        <v>10000</v>
      </c>
      <c r="S35" t="n">
        <v>0</v>
      </c>
      <c r="T35" t="n">
        <v>10000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10000</v>
      </c>
      <c r="AP35" t="n">
        <v>50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10000</v>
      </c>
      <c r="CP35" t="n">
        <v>0</v>
      </c>
      <c r="CQ35" t="n">
        <v>10000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10000</v>
      </c>
      <c r="DA35" t="n">
        <v>10000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4001</v>
      </c>
      <c r="B36" t="n">
        <v>4</v>
      </c>
      <c r="C36" t="inlineStr">
        <is>
          <t>메카닉</t>
        </is>
      </c>
      <c r="D36" t="n">
        <v>200</v>
      </c>
      <c r="E36" t="n">
        <v>0</v>
      </c>
      <c r="F36" t="n">
        <v>21000</v>
      </c>
      <c r="G36" t="n">
        <v>10000</v>
      </c>
      <c r="H36" t="n">
        <v>125</v>
      </c>
      <c r="I36" t="n">
        <v>50</v>
      </c>
      <c r="J36" t="n">
        <v>0</v>
      </c>
      <c r="K36" t="n">
        <v>-10</v>
      </c>
      <c r="L36" t="n">
        <v>10000</v>
      </c>
      <c r="M36" t="n">
        <v>10000</v>
      </c>
      <c r="N36" t="n">
        <v>10000</v>
      </c>
      <c r="O36" t="n">
        <v>10000</v>
      </c>
      <c r="P36" t="n">
        <v>10000</v>
      </c>
      <c r="Q36" t="n">
        <v>0</v>
      </c>
      <c r="R36" t="n">
        <v>10000</v>
      </c>
      <c r="S36" t="n">
        <v>0</v>
      </c>
      <c r="T36" t="n">
        <v>10000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10000</v>
      </c>
      <c r="AP36" t="n">
        <v>50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10000</v>
      </c>
      <c r="CP36" t="n">
        <v>0</v>
      </c>
      <c r="CQ36" t="n">
        <v>10000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10000</v>
      </c>
      <c r="DA36" t="n">
        <v>10000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4001</v>
      </c>
      <c r="B37" t="n">
        <v>5</v>
      </c>
      <c r="C37" t="inlineStr">
        <is>
          <t>메카닉</t>
        </is>
      </c>
      <c r="D37" t="n">
        <v>200</v>
      </c>
      <c r="E37" t="n">
        <v>0</v>
      </c>
      <c r="F37" t="n">
        <v>21000</v>
      </c>
      <c r="G37" t="n">
        <v>10000</v>
      </c>
      <c r="H37" t="n">
        <v>125</v>
      </c>
      <c r="I37" t="n">
        <v>50</v>
      </c>
      <c r="J37" t="n">
        <v>0</v>
      </c>
      <c r="K37" t="n">
        <v>-10</v>
      </c>
      <c r="L37" t="n">
        <v>10000</v>
      </c>
      <c r="M37" t="n">
        <v>10000</v>
      </c>
      <c r="N37" t="n">
        <v>10000</v>
      </c>
      <c r="O37" t="n">
        <v>10000</v>
      </c>
      <c r="P37" t="n">
        <v>10000</v>
      </c>
      <c r="Q37" t="n">
        <v>0</v>
      </c>
      <c r="R37" t="n">
        <v>10000</v>
      </c>
      <c r="S37" t="n">
        <v>0</v>
      </c>
      <c r="T37" t="n">
        <v>10000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10000</v>
      </c>
      <c r="AP37" t="n">
        <v>50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10000</v>
      </c>
      <c r="CP37" t="n">
        <v>0</v>
      </c>
      <c r="CQ37" t="n">
        <v>10000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10000</v>
      </c>
      <c r="DA37" t="n">
        <v>10000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4001</v>
      </c>
      <c r="B38" t="n">
        <v>6</v>
      </c>
      <c r="C38" t="inlineStr">
        <is>
          <t>메카닉</t>
        </is>
      </c>
      <c r="D38" t="n">
        <v>200</v>
      </c>
      <c r="E38" t="n">
        <v>0</v>
      </c>
      <c r="F38" t="n">
        <v>21000</v>
      </c>
      <c r="G38" t="n">
        <v>10000</v>
      </c>
      <c r="H38" t="n">
        <v>125</v>
      </c>
      <c r="I38" t="n">
        <v>50</v>
      </c>
      <c r="J38" t="n">
        <v>0</v>
      </c>
      <c r="K38" t="n">
        <v>-10</v>
      </c>
      <c r="L38" t="n">
        <v>10000</v>
      </c>
      <c r="M38" t="n">
        <v>10000</v>
      </c>
      <c r="N38" t="n">
        <v>10000</v>
      </c>
      <c r="O38" t="n">
        <v>10000</v>
      </c>
      <c r="P38" t="n">
        <v>10000</v>
      </c>
      <c r="Q38" t="n">
        <v>0</v>
      </c>
      <c r="R38" t="n">
        <v>10000</v>
      </c>
      <c r="S38" t="n">
        <v>0</v>
      </c>
      <c r="T38" t="n">
        <v>10000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10000</v>
      </c>
      <c r="AP38" t="n">
        <v>50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10000</v>
      </c>
      <c r="CP38" t="n">
        <v>0</v>
      </c>
      <c r="CQ38" t="n">
        <v>10000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10000</v>
      </c>
      <c r="DA38" t="n">
        <v>10000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4001</v>
      </c>
      <c r="B39" t="n">
        <v>7</v>
      </c>
      <c r="C39" t="inlineStr">
        <is>
          <t>메카닉</t>
        </is>
      </c>
      <c r="D39" t="n">
        <v>200</v>
      </c>
      <c r="E39" t="n">
        <v>0</v>
      </c>
      <c r="F39" t="n">
        <v>21000</v>
      </c>
      <c r="G39" t="n">
        <v>10000</v>
      </c>
      <c r="H39" t="n">
        <v>125</v>
      </c>
      <c r="I39" t="n">
        <v>50</v>
      </c>
      <c r="J39" t="n">
        <v>0</v>
      </c>
      <c r="K39" t="n">
        <v>-10</v>
      </c>
      <c r="L39" t="n">
        <v>10000</v>
      </c>
      <c r="M39" t="n">
        <v>10000</v>
      </c>
      <c r="N39" t="n">
        <v>10000</v>
      </c>
      <c r="O39" t="n">
        <v>10000</v>
      </c>
      <c r="P39" t="n">
        <v>10000</v>
      </c>
      <c r="Q39" t="n">
        <v>0</v>
      </c>
      <c r="R39" t="n">
        <v>10000</v>
      </c>
      <c r="S39" t="n">
        <v>0</v>
      </c>
      <c r="T39" t="n">
        <v>10000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10000</v>
      </c>
      <c r="AP39" t="n">
        <v>50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10000</v>
      </c>
      <c r="CP39" t="n">
        <v>0</v>
      </c>
      <c r="CQ39" t="n">
        <v>10000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10000</v>
      </c>
      <c r="DA39" t="n">
        <v>10000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4001</v>
      </c>
      <c r="B40" t="n">
        <v>8</v>
      </c>
      <c r="C40" t="inlineStr">
        <is>
          <t>메카닉</t>
        </is>
      </c>
      <c r="D40" t="n">
        <v>200</v>
      </c>
      <c r="E40" t="n">
        <v>0</v>
      </c>
      <c r="F40" t="n">
        <v>21000</v>
      </c>
      <c r="G40" t="n">
        <v>10000</v>
      </c>
      <c r="H40" t="n">
        <v>125</v>
      </c>
      <c r="I40" t="n">
        <v>50</v>
      </c>
      <c r="J40" t="n">
        <v>0</v>
      </c>
      <c r="K40" t="n">
        <v>-10</v>
      </c>
      <c r="L40" t="n">
        <v>10000</v>
      </c>
      <c r="M40" t="n">
        <v>10000</v>
      </c>
      <c r="N40" t="n">
        <v>10000</v>
      </c>
      <c r="O40" t="n">
        <v>10000</v>
      </c>
      <c r="P40" t="n">
        <v>10000</v>
      </c>
      <c r="Q40" t="n">
        <v>0</v>
      </c>
      <c r="R40" t="n">
        <v>10000</v>
      </c>
      <c r="S40" t="n">
        <v>0</v>
      </c>
      <c r="T40" t="n">
        <v>10000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10000</v>
      </c>
      <c r="AP40" t="n">
        <v>50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10000</v>
      </c>
      <c r="CP40" t="n">
        <v>0</v>
      </c>
      <c r="CQ40" t="n">
        <v>10000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10000</v>
      </c>
      <c r="DA40" t="n">
        <v>10000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4001</v>
      </c>
      <c r="B41" t="n">
        <v>9</v>
      </c>
      <c r="C41" t="inlineStr">
        <is>
          <t>메카닉</t>
        </is>
      </c>
      <c r="D41" t="n">
        <v>200</v>
      </c>
      <c r="E41" t="n">
        <v>0</v>
      </c>
      <c r="F41" t="n">
        <v>21000</v>
      </c>
      <c r="G41" t="n">
        <v>10000</v>
      </c>
      <c r="H41" t="n">
        <v>125</v>
      </c>
      <c r="I41" t="n">
        <v>50</v>
      </c>
      <c r="J41" t="n">
        <v>0</v>
      </c>
      <c r="K41" t="n">
        <v>-10</v>
      </c>
      <c r="L41" t="n">
        <v>10000</v>
      </c>
      <c r="M41" t="n">
        <v>10000</v>
      </c>
      <c r="N41" t="n">
        <v>10000</v>
      </c>
      <c r="O41" t="n">
        <v>10000</v>
      </c>
      <c r="P41" t="n">
        <v>10000</v>
      </c>
      <c r="Q41" t="n">
        <v>0</v>
      </c>
      <c r="R41" t="n">
        <v>10000</v>
      </c>
      <c r="S41" t="n">
        <v>0</v>
      </c>
      <c r="T41" t="n">
        <v>10000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10000</v>
      </c>
      <c r="AP41" t="n">
        <v>50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10000</v>
      </c>
      <c r="CP41" t="n">
        <v>0</v>
      </c>
      <c r="CQ41" t="n">
        <v>10000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10000</v>
      </c>
      <c r="DA41" t="n">
        <v>10000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 ht="17.25" customFormat="1" customHeight="1" s="22" thickBot="1">
      <c r="A42" t="n">
        <v>4001</v>
      </c>
      <c r="B42" t="n">
        <v>10</v>
      </c>
      <c r="C42" t="inlineStr">
        <is>
          <t>메카닉</t>
        </is>
      </c>
      <c r="D42" t="n">
        <v>200</v>
      </c>
      <c r="E42" t="n">
        <v>0</v>
      </c>
      <c r="F42" t="n">
        <v>21000</v>
      </c>
      <c r="G42" t="n">
        <v>10000</v>
      </c>
      <c r="H42" t="n">
        <v>125</v>
      </c>
      <c r="I42" t="n">
        <v>50</v>
      </c>
      <c r="J42" t="n">
        <v>0</v>
      </c>
      <c r="K42" t="n">
        <v>-10</v>
      </c>
      <c r="L42" t="n">
        <v>10000</v>
      </c>
      <c r="M42" t="n">
        <v>10000</v>
      </c>
      <c r="N42" t="n">
        <v>10000</v>
      </c>
      <c r="O42" t="n">
        <v>10000</v>
      </c>
      <c r="P42" t="n">
        <v>10000</v>
      </c>
      <c r="Q42" t="n">
        <v>0</v>
      </c>
      <c r="R42" t="n">
        <v>10000</v>
      </c>
      <c r="S42" t="n">
        <v>0</v>
      </c>
      <c r="T42" t="n">
        <v>10000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10000</v>
      </c>
      <c r="AP42" t="n">
        <v>50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10000</v>
      </c>
      <c r="CP42" t="n">
        <v>0</v>
      </c>
      <c r="CQ42" t="n">
        <v>10000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10000</v>
      </c>
      <c r="DA42" t="n">
        <v>10000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 customFormat="1" s="45">
      <c r="A43" t="n">
        <v>100101</v>
      </c>
      <c r="B43" t="n">
        <v>1</v>
      </c>
      <c r="C43" t="inlineStr">
        <is>
          <t>뱅가드_bot01</t>
        </is>
      </c>
      <c r="D43" t="n">
        <v>250</v>
      </c>
      <c r="E43" t="n">
        <v>0</v>
      </c>
      <c r="F43" t="n">
        <v>13000</v>
      </c>
      <c r="G43" t="n">
        <v>10000</v>
      </c>
      <c r="H43" t="n">
        <v>200</v>
      </c>
      <c r="I43" t="n">
        <v>65</v>
      </c>
      <c r="J43" t="n">
        <v>0</v>
      </c>
      <c r="K43" t="n">
        <v>-10</v>
      </c>
      <c r="L43" t="n">
        <v>10000</v>
      </c>
      <c r="M43" t="n">
        <v>10000</v>
      </c>
      <c r="N43" t="n">
        <v>10000</v>
      </c>
      <c r="O43" t="n">
        <v>10000</v>
      </c>
      <c r="P43" t="n">
        <v>10000</v>
      </c>
      <c r="Q43" t="n">
        <v>0</v>
      </c>
      <c r="R43" t="n">
        <v>10000</v>
      </c>
      <c r="S43" t="n">
        <v>0</v>
      </c>
      <c r="T43" t="n">
        <v>10000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10000</v>
      </c>
      <c r="AP43" t="n">
        <v>50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10000</v>
      </c>
      <c r="CP43" t="n">
        <v>0</v>
      </c>
      <c r="CQ43" t="n">
        <v>10000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10000</v>
      </c>
      <c r="DA43" t="n">
        <v>10000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 customFormat="1" s="45">
      <c r="A44" t="n">
        <v>200101</v>
      </c>
      <c r="B44" t="n">
        <v>1</v>
      </c>
      <c r="C44" t="inlineStr">
        <is>
          <t>스트라이커_bot01</t>
        </is>
      </c>
      <c r="D44" t="n">
        <v>150</v>
      </c>
      <c r="E44" t="n">
        <v>0</v>
      </c>
      <c r="F44" t="n">
        <v>11500</v>
      </c>
      <c r="G44" t="n">
        <v>10000</v>
      </c>
      <c r="H44" t="n">
        <v>150</v>
      </c>
      <c r="I44" t="n">
        <v>50</v>
      </c>
      <c r="J44" t="n">
        <v>0</v>
      </c>
      <c r="K44" t="n">
        <v>-10</v>
      </c>
      <c r="L44" t="n">
        <v>10000</v>
      </c>
      <c r="M44" t="n">
        <v>10000</v>
      </c>
      <c r="N44" t="n">
        <v>10000</v>
      </c>
      <c r="O44" t="n">
        <v>10000</v>
      </c>
      <c r="P44" t="n">
        <v>10000</v>
      </c>
      <c r="Q44" t="n">
        <v>0</v>
      </c>
      <c r="R44" t="n">
        <v>10000</v>
      </c>
      <c r="S44" t="n">
        <v>0</v>
      </c>
      <c r="T44" t="n">
        <v>10000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10000</v>
      </c>
      <c r="AP44" t="n">
        <v>50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10000</v>
      </c>
      <c r="CP44" t="n">
        <v>0</v>
      </c>
      <c r="CQ44" t="n">
        <v>10000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10000</v>
      </c>
      <c r="DA44" t="n">
        <v>10000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 customFormat="1" s="45">
      <c r="A45" t="n">
        <v>300101</v>
      </c>
      <c r="B45" t="n">
        <v>1</v>
      </c>
      <c r="C45" t="inlineStr">
        <is>
          <t>에이전트_bot1 (임시스트라이커)</t>
        </is>
      </c>
      <c r="D45" t="n">
        <v>150</v>
      </c>
      <c r="E45" t="n">
        <v>0</v>
      </c>
      <c r="F45" t="n">
        <v>11500</v>
      </c>
      <c r="G45" t="n">
        <v>10000</v>
      </c>
      <c r="H45" t="n">
        <v>125</v>
      </c>
      <c r="I45" t="n">
        <v>50</v>
      </c>
      <c r="J45" t="n">
        <v>0</v>
      </c>
      <c r="K45" t="n">
        <v>-10</v>
      </c>
      <c r="L45" t="n">
        <v>10000</v>
      </c>
      <c r="M45" t="n">
        <v>10000</v>
      </c>
      <c r="N45" t="n">
        <v>10000</v>
      </c>
      <c r="O45" t="n">
        <v>10000</v>
      </c>
      <c r="P45" t="n">
        <v>10000</v>
      </c>
      <c r="Q45" t="n">
        <v>0</v>
      </c>
      <c r="R45" t="n">
        <v>10000</v>
      </c>
      <c r="S45" t="n">
        <v>0</v>
      </c>
      <c r="T45" t="n">
        <v>10000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10000</v>
      </c>
      <c r="AP45" t="n">
        <v>50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10000</v>
      </c>
      <c r="CP45" t="n">
        <v>0</v>
      </c>
      <c r="CQ45" t="n">
        <v>10000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10000</v>
      </c>
      <c r="DA45" t="n">
        <v>10000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 customFormat="1" s="45">
      <c r="A46" t="n">
        <v>400101</v>
      </c>
      <c r="B46" t="n">
        <v>1</v>
      </c>
      <c r="C46" t="inlineStr">
        <is>
          <t>메카닉_bot1 (임시스트라이커)</t>
        </is>
      </c>
      <c r="D46" t="n">
        <v>200</v>
      </c>
      <c r="E46" t="n">
        <v>0</v>
      </c>
      <c r="F46" t="n">
        <v>21000</v>
      </c>
      <c r="G46" t="n">
        <v>10000</v>
      </c>
      <c r="H46" t="n">
        <v>125</v>
      </c>
      <c r="I46" t="n">
        <v>50</v>
      </c>
      <c r="J46" t="n">
        <v>0</v>
      </c>
      <c r="K46" t="n">
        <v>-10</v>
      </c>
      <c r="L46" t="n">
        <v>10000</v>
      </c>
      <c r="M46" t="n">
        <v>10000</v>
      </c>
      <c r="N46" t="n">
        <v>10000</v>
      </c>
      <c r="O46" t="n">
        <v>10000</v>
      </c>
      <c r="P46" t="n">
        <v>10000</v>
      </c>
      <c r="Q46" t="n">
        <v>0</v>
      </c>
      <c r="R46" t="n">
        <v>10000</v>
      </c>
      <c r="S46" t="n">
        <v>0</v>
      </c>
      <c r="T46" t="n">
        <v>10000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10000</v>
      </c>
      <c r="AP46" t="n">
        <v>50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10000</v>
      </c>
      <c r="CP46" t="n">
        <v>0</v>
      </c>
      <c r="CQ46" t="n">
        <v>10000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10000</v>
      </c>
      <c r="DA46" t="n">
        <v>10000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 customFormat="1" s="45">
      <c r="A47" t="n">
        <v>3002</v>
      </c>
      <c r="B47" t="n">
        <v>1</v>
      </c>
      <c r="C47" t="inlineStr">
        <is>
          <t>엔젤_증거인멸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-10</v>
      </c>
      <c r="L47" t="n">
        <v>10000</v>
      </c>
      <c r="M47" t="n">
        <v>10000</v>
      </c>
      <c r="N47" t="n">
        <v>10000</v>
      </c>
      <c r="O47" t="n">
        <v>10000</v>
      </c>
      <c r="P47" t="n">
        <v>10000</v>
      </c>
      <c r="Q47" t="n">
        <v>0</v>
      </c>
      <c r="R47" t="n">
        <v>10000</v>
      </c>
      <c r="S47" t="n">
        <v>0</v>
      </c>
      <c r="T47" t="n">
        <v>10000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10000</v>
      </c>
      <c r="CP47" t="n">
        <v>0</v>
      </c>
      <c r="CQ47" t="n">
        <v>10000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10000</v>
      </c>
      <c r="DA47" t="n">
        <v>10000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4002</v>
      </c>
      <c r="B48" t="n">
        <v>1</v>
      </c>
      <c r="C48" t="inlineStr">
        <is>
          <t>시냅스_불확정역장</t>
        </is>
      </c>
      <c r="D48" t="n">
        <v>600</v>
      </c>
      <c r="E48" t="n">
        <v>0</v>
      </c>
      <c r="F48" t="n">
        <v>0</v>
      </c>
      <c r="G48" t="n">
        <v>0</v>
      </c>
      <c r="H48" t="n">
        <v>100</v>
      </c>
      <c r="I48" t="n">
        <v>10</v>
      </c>
      <c r="J48" t="n">
        <v>0</v>
      </c>
      <c r="K48" t="n">
        <v>-10</v>
      </c>
      <c r="L48" t="n">
        <v>10000</v>
      </c>
      <c r="M48" t="n">
        <v>10000</v>
      </c>
      <c r="N48" t="n">
        <v>10000</v>
      </c>
      <c r="O48" t="n">
        <v>10000</v>
      </c>
      <c r="P48" t="n">
        <v>10000</v>
      </c>
      <c r="Q48" t="n">
        <v>0</v>
      </c>
      <c r="R48" t="n">
        <v>10000</v>
      </c>
      <c r="S48" t="n">
        <v>0</v>
      </c>
      <c r="T48" t="n">
        <v>10000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10000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10000</v>
      </c>
      <c r="CP48" t="n">
        <v>0</v>
      </c>
      <c r="CQ48" t="n">
        <v>10000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10000</v>
      </c>
      <c r="DA48" t="n">
        <v>10000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4003</v>
      </c>
      <c r="B49" t="n">
        <v>1</v>
      </c>
      <c r="C49" t="inlineStr">
        <is>
          <t>시냅스_방해전파장치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-10</v>
      </c>
      <c r="L49" t="n">
        <v>10000</v>
      </c>
      <c r="M49" t="n">
        <v>10000</v>
      </c>
      <c r="N49" t="n">
        <v>10000</v>
      </c>
      <c r="O49" t="n">
        <v>10000</v>
      </c>
      <c r="P49" t="n">
        <v>10000</v>
      </c>
      <c r="Q49" t="n">
        <v>0</v>
      </c>
      <c r="R49" t="n">
        <v>10000</v>
      </c>
      <c r="S49" t="n">
        <v>0</v>
      </c>
      <c r="T49" t="n">
        <v>10000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10000</v>
      </c>
      <c r="CP49" t="n">
        <v>0</v>
      </c>
      <c r="CQ49" t="n">
        <v>10000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10000</v>
      </c>
      <c r="DA49" t="n">
        <v>10000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4004</v>
      </c>
      <c r="B50" t="n">
        <v>1</v>
      </c>
      <c r="C50" t="inlineStr">
        <is>
          <t>시냅스_바이러스노드</t>
        </is>
      </c>
      <c r="D50" t="n">
        <v>150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-10</v>
      </c>
      <c r="L50" t="n">
        <v>10000</v>
      </c>
      <c r="M50" t="n">
        <v>10000</v>
      </c>
      <c r="N50" t="n">
        <v>10000</v>
      </c>
      <c r="O50" t="n">
        <v>10000</v>
      </c>
      <c r="P50" t="n">
        <v>10000</v>
      </c>
      <c r="Q50" t="n">
        <v>0</v>
      </c>
      <c r="R50" t="n">
        <v>10000</v>
      </c>
      <c r="S50" t="n">
        <v>0</v>
      </c>
      <c r="T50" t="n">
        <v>10000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10000</v>
      </c>
      <c r="CP50" t="n">
        <v>0</v>
      </c>
      <c r="CQ50" t="n">
        <v>10000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10000</v>
      </c>
      <c r="DA50" t="n">
        <v>10000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4005</v>
      </c>
      <c r="B51" t="n">
        <v>1</v>
      </c>
      <c r="C51" t="inlineStr">
        <is>
          <t>시냅스_바이러스노드(약화)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-10</v>
      </c>
      <c r="L51" t="n">
        <v>10000</v>
      </c>
      <c r="M51" t="n">
        <v>10000</v>
      </c>
      <c r="N51" t="n">
        <v>10000</v>
      </c>
      <c r="O51" t="n">
        <v>10000</v>
      </c>
      <c r="P51" t="n">
        <v>10000</v>
      </c>
      <c r="Q51" t="n">
        <v>0</v>
      </c>
      <c r="R51" t="n">
        <v>10000</v>
      </c>
      <c r="S51" t="n">
        <v>0</v>
      </c>
      <c r="T51" t="n">
        <v>10000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10000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10000</v>
      </c>
      <c r="CP51" t="n">
        <v>0</v>
      </c>
      <c r="CQ51" t="n">
        <v>10000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10000</v>
      </c>
      <c r="DA51" t="n">
        <v>10000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6" sqref="E6"/>
    </sheetView>
  </sheetViews>
  <sheetFormatPr baseColWidth="8" defaultRowHeight="16.5"/>
  <cols>
    <col width="8.5" customWidth="1" min="1" max="1"/>
    <col width="16" customWidth="1" min="2" max="2"/>
    <col width="24.25" customWidth="1" min="3" max="3"/>
    <col width="26" bestFit="1" customWidth="1" min="4" max="5"/>
    <col width="22.5" bestFit="1" customWidth="1" min="6" max="6"/>
    <col width="15.75" customWidth="1" min="7" max="8"/>
    <col width="16.5" customWidth="1" min="9" max="9"/>
    <col width="16.875" customWidth="1" min="10" max="10"/>
    <col width="16.125" customWidth="1" min="11" max="11"/>
  </cols>
  <sheetData>
    <row r="1">
      <c r="A1" t="inlineStr">
        <is>
          <t>DataGroup</t>
        </is>
      </c>
      <c r="B1" t="inlineStr">
        <is>
          <t>CharacterGearSet</t>
        </is>
      </c>
    </row>
    <row r="2">
      <c r="A2" t="inlineStr">
        <is>
          <t>id</t>
        </is>
      </c>
      <c r="B2" s="6" t="inlineStr">
        <is>
          <t>#char_memo</t>
        </is>
      </c>
      <c r="C2" t="inlineStr">
        <is>
          <t>fist_gear_id</t>
        </is>
      </c>
      <c r="D2" t="inlineStr">
        <is>
          <t>weapon_gear_main_id_1</t>
        </is>
      </c>
      <c r="E2" t="inlineStr">
        <is>
          <t>weapon_gear_main_id_2</t>
        </is>
      </c>
      <c r="F2" t="inlineStr">
        <is>
          <t>weapon_gear_sub_id</t>
        </is>
      </c>
      <c r="G2" t="inlineStr">
        <is>
          <t>helmet_gear_id</t>
        </is>
      </c>
      <c r="H2" t="inlineStr">
        <is>
          <t>chest_gear_id</t>
        </is>
      </c>
    </row>
    <row r="3">
      <c r="A3" t="n">
        <v>1001</v>
      </c>
      <c r="B3">
        <f>_xlfn.XLOOKUP(CharacterGearSet[[#This Row],[id]],Character[character_gear_set_id],Character['#char_memo],,0)</f>
        <v/>
      </c>
      <c r="C3" t="n">
        <v>-1</v>
      </c>
      <c r="D3" s="23" t="n">
        <v>210011</v>
      </c>
      <c r="E3" s="23" t="n">
        <v>210012</v>
      </c>
      <c r="F3" s="23" t="n">
        <v>210013</v>
      </c>
      <c r="G3" t="n">
        <v>-1</v>
      </c>
      <c r="H3" t="n">
        <v>-1</v>
      </c>
    </row>
    <row r="4">
      <c r="A4" t="n">
        <v>2001</v>
      </c>
      <c r="B4">
        <f>_xlfn.XLOOKUP(CharacterGearSet[[#This Row],[id]],Character[character_gear_set_id],Character['#char_memo],,0)</f>
        <v/>
      </c>
      <c r="C4" t="n">
        <v>-1</v>
      </c>
      <c r="D4" s="23" t="n">
        <v>220011</v>
      </c>
      <c r="E4" s="23" t="n">
        <v>220012</v>
      </c>
      <c r="F4" s="23" t="n">
        <v>220013</v>
      </c>
      <c r="G4" t="n">
        <v>-1</v>
      </c>
      <c r="H4" t="n">
        <v>-1</v>
      </c>
    </row>
    <row r="5">
      <c r="A5" t="n">
        <v>3001</v>
      </c>
      <c r="B5">
        <f>_xlfn.XLOOKUP(CharacterGearSet[[#This Row],[id]],Character[character_gear_set_id],Character['#char_memo],,0)</f>
        <v/>
      </c>
      <c r="C5" t="n">
        <v>-1</v>
      </c>
      <c r="D5" s="23" t="n">
        <v>230011</v>
      </c>
      <c r="E5" s="23" t="n">
        <v>230012</v>
      </c>
      <c r="F5" s="23" t="n">
        <v>230013</v>
      </c>
      <c r="G5" t="n">
        <v>-1</v>
      </c>
      <c r="H5" t="n">
        <v>-1</v>
      </c>
    </row>
    <row r="6">
      <c r="A6" t="n">
        <v>4001</v>
      </c>
      <c r="B6">
        <f>_xlfn.XLOOKUP(CharacterGearSet[[#This Row],[id]],Character[character_gear_set_id],Character['#char_memo],,0)</f>
        <v/>
      </c>
      <c r="C6" t="n">
        <v>-1</v>
      </c>
      <c r="D6" s="29" t="n">
        <v>240011</v>
      </c>
      <c r="E6" s="23" t="n">
        <v>240012</v>
      </c>
      <c r="F6" s="23" t="n">
        <v>240013</v>
      </c>
      <c r="G6" t="n">
        <v>-1</v>
      </c>
      <c r="H6" t="n">
        <v>-1</v>
      </c>
    </row>
    <row r="7" customFormat="1" s="26">
      <c r="A7" s="26" t="n">
        <v>100100</v>
      </c>
      <c r="B7" s="26">
        <f>_xlfn.XLOOKUP(CharacterGearSet[[#This Row],[id]],Character[character_gear_set_id],Character['#char_memo],,0)</f>
        <v/>
      </c>
      <c r="C7" s="26" t="n">
        <v>-1</v>
      </c>
      <c r="D7" s="26" t="n">
        <v>210021</v>
      </c>
      <c r="E7" s="26" t="n">
        <v>210022</v>
      </c>
      <c r="F7" s="26" t="n">
        <v>210023</v>
      </c>
      <c r="G7" s="26" t="n">
        <v>-1</v>
      </c>
      <c r="H7" s="26" t="n">
        <v>-1</v>
      </c>
    </row>
    <row r="8" customFormat="1" s="26">
      <c r="A8" s="26" t="n">
        <v>200100</v>
      </c>
      <c r="B8" s="26">
        <f>_xlfn.XLOOKUP(CharacterGearSet[[#This Row],[id]],Character[character_gear_set_id],Character['#char_memo],,0)</f>
        <v/>
      </c>
      <c r="C8" s="26" t="n">
        <v>-1</v>
      </c>
      <c r="D8" s="26" t="n">
        <v>220021</v>
      </c>
      <c r="E8" s="26" t="n">
        <v>220022</v>
      </c>
      <c r="F8" s="26" t="n">
        <v>220023</v>
      </c>
      <c r="G8" s="26" t="n">
        <v>-1</v>
      </c>
      <c r="H8" s="26" t="n">
        <v>-1</v>
      </c>
    </row>
    <row r="9" customFormat="1" s="26">
      <c r="A9" s="26" t="n">
        <v>300100</v>
      </c>
      <c r="B9" s="26">
        <f>_xlfn.XLOOKUP(CharacterGearSet[[#This Row],[id]],Character[character_gear_set_id],Character['#char_memo],,0)</f>
        <v/>
      </c>
      <c r="C9" s="26" t="n">
        <v>-1</v>
      </c>
      <c r="D9" s="26" t="n">
        <v>230021</v>
      </c>
      <c r="E9" s="26" t="n">
        <v>230022</v>
      </c>
      <c r="F9" s="26" t="n">
        <v>230023</v>
      </c>
      <c r="G9" s="26" t="n">
        <v>-1</v>
      </c>
      <c r="H9" s="26" t="n">
        <v>-1</v>
      </c>
    </row>
    <row r="10" ht="17.25" customFormat="1" customHeight="1" s="43" thickBot="1">
      <c r="A10" s="43" t="n">
        <v>400100</v>
      </c>
      <c r="B10" s="43">
        <f>_xlfn.XLOOKUP(CharacterGearSet[[#This Row],[id]],Character[character_gear_set_id],Character['#char_memo],,0)</f>
        <v/>
      </c>
      <c r="C10" s="43" t="n">
        <v>-1</v>
      </c>
      <c r="D10" s="43" t="n">
        <v>240021</v>
      </c>
      <c r="E10" s="43" t="n">
        <v>240022</v>
      </c>
      <c r="F10" s="43" t="n">
        <v>240023</v>
      </c>
      <c r="G10" s="43" t="n">
        <v>-1</v>
      </c>
      <c r="H10" s="43" t="n">
        <v>-1</v>
      </c>
    </row>
    <row r="11">
      <c r="A11" t="n">
        <v>100101</v>
      </c>
      <c r="B11">
        <f>_xlfn.XLOOKUP(CharacterGearSet[[#This Row],[id]],Character[character_gear_set_id],Character['#char_memo],,0)</f>
        <v/>
      </c>
      <c r="C11" t="n">
        <v>-1</v>
      </c>
      <c r="D11" s="23" t="n">
        <v>210011</v>
      </c>
      <c r="E11" s="26" t="n">
        <v>210012</v>
      </c>
      <c r="F11" s="23" t="n">
        <v>210013</v>
      </c>
      <c r="G11" t="n">
        <v>-1</v>
      </c>
      <c r="H11" t="n">
        <v>-1</v>
      </c>
    </row>
    <row r="12">
      <c r="A12" t="n">
        <v>200101</v>
      </c>
      <c r="B12">
        <f>_xlfn.XLOOKUP(CharacterGearSet[[#This Row],[id]],Character[character_gear_set_id],Character['#char_memo],,0)</f>
        <v/>
      </c>
      <c r="C12" t="n">
        <v>-1</v>
      </c>
      <c r="D12" s="23" t="n">
        <v>220011</v>
      </c>
      <c r="E12" s="26" t="n">
        <v>220012</v>
      </c>
      <c r="F12" s="23" t="n">
        <v>220013</v>
      </c>
      <c r="G12" t="n">
        <v>-1</v>
      </c>
      <c r="H12" t="n">
        <v>-1</v>
      </c>
    </row>
    <row r="13">
      <c r="A13" t="n">
        <v>300101</v>
      </c>
      <c r="B13">
        <f>_xlfn.XLOOKUP(CharacterGearSet[[#This Row],[id]],Character[character_gear_set_id],Character['#char_memo],,0)</f>
        <v/>
      </c>
      <c r="C13" t="n">
        <v>-1</v>
      </c>
      <c r="D13" s="23" t="n">
        <v>230011</v>
      </c>
      <c r="E13" s="26" t="n">
        <v>230011</v>
      </c>
      <c r="F13" s="23" t="n">
        <v>220013</v>
      </c>
      <c r="G13" t="n">
        <v>-1</v>
      </c>
      <c r="H13" t="n">
        <v>-1</v>
      </c>
    </row>
    <row r="14">
      <c r="A14" t="n">
        <v>400101</v>
      </c>
      <c r="B14">
        <f>_xlfn.XLOOKUP(CharacterGearSet[[#This Row],[id]],Character[character_gear_set_id],Character['#char_memo],,0)</f>
        <v/>
      </c>
      <c r="C14" t="n">
        <v>-1</v>
      </c>
      <c r="D14" s="23" t="n">
        <v>240011</v>
      </c>
      <c r="E14" s="26" t="n">
        <v>240012</v>
      </c>
      <c r="F14" s="23" t="n">
        <v>220013</v>
      </c>
      <c r="G14" t="n">
        <v>-1</v>
      </c>
      <c r="H14" t="n">
        <v>-1</v>
      </c>
    </row>
    <row r="15">
      <c r="D15" s="23" t="n"/>
      <c r="E15" s="23" t="n"/>
      <c r="F15" s="23" t="n"/>
    </row>
    <row r="16">
      <c r="D16" s="23" t="n"/>
      <c r="E16" s="23" t="n"/>
      <c r="F16" s="2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G22" sqref="G22"/>
    </sheetView>
  </sheetViews>
  <sheetFormatPr baseColWidth="8" defaultRowHeight="16.5"/>
  <cols>
    <col width="16.5" customWidth="1" min="1" max="1"/>
    <col width="15.75" bestFit="1" customWidth="1" min="2" max="2"/>
    <col width="31.625" bestFit="1" customWidth="1" min="3" max="3"/>
    <col width="30.5" bestFit="1" customWidth="1" min="4" max="4"/>
    <col width="29" bestFit="1" customWidth="1" min="5" max="5"/>
  </cols>
  <sheetData>
    <row r="1">
      <c r="A1" t="inlineStr">
        <is>
          <t>DataGroup</t>
        </is>
      </c>
      <c r="B1" t="inlineStr">
        <is>
          <t>CharacterClass</t>
        </is>
      </c>
    </row>
    <row r="2">
      <c r="A2" s="4" t="inlineStr">
        <is>
          <t>character_class</t>
        </is>
      </c>
      <c r="B2" s="2" t="inlineStr">
        <is>
          <t>#class_memo</t>
        </is>
      </c>
      <c r="C2" s="4" t="inlineStr">
        <is>
          <t>name_id</t>
        </is>
      </c>
      <c r="D2" s="4" t="inlineStr">
        <is>
          <t>decs_id</t>
        </is>
      </c>
      <c r="E2" s="4" t="inlineStr">
        <is>
          <t>icon_id</t>
        </is>
      </c>
    </row>
    <row r="3">
      <c r="A3" s="12" t="inlineStr">
        <is>
          <t>Tank</t>
        </is>
      </c>
      <c r="B3" s="12" t="inlineStr">
        <is>
          <t>탱커</t>
        </is>
      </c>
      <c r="C3" s="1" t="inlineStr">
        <is>
          <t>Character_Class_Name_Tank</t>
        </is>
      </c>
      <c r="D3" s="1" t="inlineStr">
        <is>
          <t>Character_Class_Desc_Tank</t>
        </is>
      </c>
      <c r="E3" s="12" t="inlineStr">
        <is>
          <t>icon_class_tank</t>
        </is>
      </c>
    </row>
    <row r="4">
      <c r="A4" s="12" t="inlineStr">
        <is>
          <t>Damage</t>
        </is>
      </c>
      <c r="B4" s="12" t="inlineStr">
        <is>
          <t>딜러</t>
        </is>
      </c>
      <c r="C4" s="1" t="inlineStr">
        <is>
          <t>Character_Class_Name_Damage</t>
        </is>
      </c>
      <c r="D4" s="1" t="inlineStr">
        <is>
          <t>Character_Class_Desc_Damage</t>
        </is>
      </c>
      <c r="E4" s="18" t="inlineStr">
        <is>
          <t>icon_class_damage</t>
        </is>
      </c>
    </row>
    <row r="5">
      <c r="A5" s="12" t="inlineStr">
        <is>
          <t>Support</t>
        </is>
      </c>
      <c r="B5" s="12" t="inlineStr">
        <is>
          <t>서포터</t>
        </is>
      </c>
      <c r="C5" s="5" t="inlineStr">
        <is>
          <t>Character_Class_Name_Support</t>
        </is>
      </c>
      <c r="D5" s="5" t="inlineStr">
        <is>
          <t>Character_Class_Desc_Support</t>
        </is>
      </c>
      <c r="E5" s="12" t="inlineStr">
        <is>
          <t>icon_class_support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85" zoomScaleNormal="85" workbookViewId="0">
      <selection activeCell="D6" sqref="D6"/>
    </sheetView>
  </sheetViews>
  <sheetFormatPr baseColWidth="8" defaultRowHeight="16.5"/>
  <cols>
    <col width="8.5" bestFit="1" customWidth="1" min="1" max="1"/>
    <col width="30" bestFit="1" customWidth="1" min="2" max="2"/>
    <col width="12.625" customWidth="1" min="3" max="3"/>
    <col width="39.25" bestFit="1" customWidth="1" min="4" max="4"/>
  </cols>
  <sheetData>
    <row r="1">
      <c r="A1" t="inlineStr">
        <is>
          <t>DataGroup</t>
        </is>
      </c>
      <c r="B1" t="inlineStr">
        <is>
          <t>CharacterPassiveSet</t>
        </is>
      </c>
    </row>
    <row r="2">
      <c r="A2" s="8" t="inlineStr">
        <is>
          <t>id</t>
        </is>
      </c>
      <c r="B2" s="9" t="inlineStr">
        <is>
          <t>#char_memo</t>
        </is>
      </c>
      <c r="C2" s="8" t="inlineStr">
        <is>
          <t>passive_id</t>
        </is>
      </c>
      <c r="D2" s="11" t="inlineStr">
        <is>
          <t>#passive_memo</t>
        </is>
      </c>
    </row>
    <row r="3">
      <c r="A3" s="7" t="n">
        <v>1001</v>
      </c>
      <c r="B3" s="7">
        <f>_xlfn.XLOOKUP(CharacterPassiveSet[[#This Row],[id]],Character[id],Character['#char_memo],,0)</f>
        <v/>
      </c>
      <c r="C3" s="13" t="n">
        <v>100100</v>
      </c>
      <c r="D3" s="10" t="inlineStr">
        <is>
          <t>충격 분산 프레임</t>
        </is>
      </c>
    </row>
    <row r="4">
      <c r="A4" s="7" t="n">
        <v>2001</v>
      </c>
      <c r="B4" s="7">
        <f>_xlfn.XLOOKUP(CharacterPassiveSet[[#This Row],[id]],Character[id],Character['#char_memo],,0)</f>
        <v/>
      </c>
      <c r="C4" s="13" t="n">
        <v>200100</v>
      </c>
      <c r="D4" s="10" t="inlineStr">
        <is>
          <t>도취감</t>
        </is>
      </c>
    </row>
    <row r="5">
      <c r="A5" s="7" t="n">
        <v>3001</v>
      </c>
      <c r="B5" s="7">
        <f>_xlfn.XLOOKUP(CharacterPassiveSet[[#This Row],[id]],Character[id],Character['#char_memo],,0)</f>
        <v/>
      </c>
      <c r="C5" s="13" t="n">
        <v>300100</v>
      </c>
      <c r="D5" s="10" t="inlineStr">
        <is>
          <t>사냥 감각</t>
        </is>
      </c>
    </row>
    <row r="6">
      <c r="A6" s="55" t="n">
        <v>3002</v>
      </c>
      <c r="B6" s="55">
        <f>_xlfn.XLOOKUP(CharacterPassiveSet[[#This Row],[id]],Character[id],Character['#char_memo],,0)</f>
        <v/>
      </c>
      <c r="C6" s="56" t="n">
        <v>300200</v>
      </c>
      <c r="D6" s="55" t="inlineStr">
        <is>
          <t>증거인멸</t>
        </is>
      </c>
    </row>
    <row r="7">
      <c r="A7" s="7" t="n">
        <v>4001</v>
      </c>
      <c r="B7" s="7">
        <f>_xlfn.XLOOKUP(CharacterPassiveSet[[#This Row],[id]],Character[id],Character['#char_memo],,0)</f>
        <v/>
      </c>
      <c r="C7" s="13" t="n">
        <v>400100</v>
      </c>
      <c r="D7" s="10" t="inlineStr">
        <is>
          <t>주파수 감지</t>
        </is>
      </c>
    </row>
    <row r="8">
      <c r="A8" s="52" t="n">
        <v>4003</v>
      </c>
      <c r="B8" s="52">
        <f>_xlfn.XLOOKUP(CharacterPassiveSet[[#This Row],[id]],Character[id],Character['#char_memo],,0)</f>
        <v/>
      </c>
      <c r="C8" t="n">
        <v>400300</v>
      </c>
      <c r="D8" s="52" t="inlineStr">
        <is>
          <t>둔화</t>
        </is>
      </c>
    </row>
    <row r="9">
      <c r="A9" s="52" t="n">
        <v>4004</v>
      </c>
      <c r="B9" s="52">
        <f>_xlfn.XLOOKUP(CharacterPassiveSet[[#This Row],[id]],Character[id],Character['#char_memo],,0)</f>
        <v/>
      </c>
      <c r="C9" t="n">
        <v>400400</v>
      </c>
      <c r="D9" s="52" t="inlineStr">
        <is>
          <t>사망 시(summon 시간 종료 시) 펄스 방출</t>
        </is>
      </c>
    </row>
    <row r="10">
      <c r="A10" s="52" t="n">
        <v>4005</v>
      </c>
      <c r="B10" s="52">
        <f>_xlfn.XLOOKUP(CharacterPassiveSet[[#This Row],[id]],Character[id],Character['#char_memo],,0)</f>
        <v/>
      </c>
      <c r="C10" t="n">
        <v>400500</v>
      </c>
      <c r="D10" s="52" t="inlineStr">
        <is>
          <t>1초 뒤 약한 펄스 방출하고 사망</t>
        </is>
      </c>
    </row>
    <row r="11">
      <c r="A11" s="54" t="n">
        <v>4006</v>
      </c>
      <c r="B11" s="52">
        <f>_xlfn.XLOOKUP(CharacterPassiveSet[[#This Row],[id]],Character[id],Character['#char_memo],,0)</f>
        <v/>
      </c>
      <c r="C11" t="n">
        <v>400300</v>
      </c>
      <c r="D11" s="52" t="inlineStr">
        <is>
          <t>둔화</t>
        </is>
      </c>
    </row>
    <row r="12">
      <c r="A12" s="54" t="n">
        <v>4006</v>
      </c>
      <c r="B12" s="52">
        <f>_xlfn.XLOOKUP(CharacterPassiveSet[[#This Row],[id]],Character[id],Character['#char_memo],,0)</f>
        <v/>
      </c>
      <c r="C12" t="n">
        <v>400600</v>
      </c>
      <c r="D12" s="52" t="inlineStr">
        <is>
          <t>주변 아군에게 위치 추적 해제 및 면역 부여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17" sqref="C17"/>
    </sheetView>
  </sheetViews>
  <sheetFormatPr baseColWidth="8" defaultRowHeight="16.5"/>
  <cols>
    <col width="14.5" bestFit="1" customWidth="1" min="1" max="1"/>
    <col width="29.125" bestFit="1" customWidth="1" min="2" max="2"/>
    <col width="28.5" bestFit="1" customWidth="1" min="3" max="3"/>
    <col width="24.75" bestFit="1" customWidth="1" min="4" max="4"/>
    <col width="25.125" bestFit="1" customWidth="1" min="5" max="5"/>
    <col width="17" customWidth="1" min="6" max="6"/>
    <col width="16.25" customWidth="1" min="7" max="7"/>
    <col width="15.25" customWidth="1" min="8" max="8"/>
    <col width="16.375" customWidth="1" min="9" max="9"/>
    <col width="15.625" customWidth="1" min="10" max="10"/>
  </cols>
  <sheetData>
    <row r="1">
      <c r="A1" t="inlineStr">
        <is>
          <t>DataGroup</t>
        </is>
      </c>
      <c r="B1" t="inlineStr">
        <is>
          <t>CharacterPingSound</t>
        </is>
      </c>
    </row>
    <row r="2">
      <c r="A2" s="12" t="inlineStr">
        <is>
          <t>character_id</t>
        </is>
      </c>
      <c r="B2" s="17" t="inlineStr">
        <is>
          <t>ping_id</t>
        </is>
      </c>
      <c r="C2" s="17" t="inlineStr">
        <is>
          <t>ping_sound_asset</t>
        </is>
      </c>
      <c r="D2" s="1" t="n"/>
      <c r="E2" s="1" t="n"/>
      <c r="F2" s="1" t="n"/>
    </row>
    <row r="3">
      <c r="A3" s="1" t="n">
        <v>1001</v>
      </c>
      <c r="B3" s="12" t="n">
        <v>101</v>
      </c>
      <c r="C3" s="12" t="n"/>
      <c r="D3" s="1" t="n"/>
      <c r="E3" s="12" t="n"/>
      <c r="F3" s="12" t="n"/>
      <c r="G3" s="12" t="n"/>
      <c r="H3" s="12" t="n"/>
    </row>
    <row r="4">
      <c r="A4" s="1" t="n">
        <v>2001</v>
      </c>
      <c r="B4" s="12" t="n">
        <v>101</v>
      </c>
      <c r="C4" s="12" t="n"/>
      <c r="D4" s="1" t="n"/>
      <c r="E4" s="12" t="n"/>
      <c r="F4" s="12" t="n"/>
      <c r="G4" s="12" t="n"/>
      <c r="H4" s="12" t="n"/>
    </row>
    <row r="5">
      <c r="A5" s="1" t="n">
        <v>3001</v>
      </c>
      <c r="B5" s="12" t="n">
        <v>101</v>
      </c>
      <c r="C5" s="12" t="n"/>
      <c r="D5" s="1" t="n"/>
      <c r="E5" s="12" t="n"/>
      <c r="F5" s="12" t="n"/>
      <c r="G5" s="12" t="n"/>
      <c r="H5" s="12" t="n"/>
    </row>
    <row r="6">
      <c r="A6" s="1" t="n">
        <v>4001</v>
      </c>
      <c r="B6" s="12" t="n">
        <v>101</v>
      </c>
      <c r="C6" s="12" t="n"/>
      <c r="D6" s="1" t="n"/>
      <c r="E6" s="12" t="n"/>
      <c r="F6" s="12" t="n"/>
      <c r="G6" s="12" t="n"/>
      <c r="H6" s="12" t="n"/>
    </row>
    <row r="8">
      <c r="B8" s="3" t="n"/>
      <c r="C8" s="3" t="n"/>
      <c r="D8" s="3" t="n"/>
      <c r="E8" s="3" t="n"/>
      <c r="F8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2025-10-15T05:46:13Z</dcterms:created>
  <dcterms:modified xsi:type="dcterms:W3CDTF">2026-03-09T05:33:33Z</dcterms:modified>
  <cp:lastModifiedBy>Habin Kim (김하빈)</cp:lastModifiedBy>
</cp:coreProperties>
</file>